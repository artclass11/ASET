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reen_Input" sheetId="2" state="visible" r:id="rId2"/>
    <sheet xmlns:r="http://schemas.openxmlformats.org/officeDocument/2006/relationships" name="Screen_Output" sheetId="3" state="visible" r:id="rId3"/>
    <sheet xmlns:r="http://schemas.openxmlformats.org/officeDocument/2006/relationships" name="Research_Card" sheetId="4" state="visible" r:id="rId4"/>
    <sheet xmlns:r="http://schemas.openxmlformats.org/officeDocument/2006/relationships" name="Source_Manifest" sheetId="5" state="visible" r:id="rId5"/>
  </sheets>
  <definedNames>
    <definedName name="_xlnm._FilterDatabase" localSheetId="1" hidden="1">'Screen_Input'!$A$4:$T$104</definedName>
    <definedName name="_xlnm._FilterDatabase" localSheetId="2" hidden="1">'Screen_Output'!$A$4:$M$104</definedName>
    <definedName name="_xlnm._FilterDatabase" localSheetId="4" hidden="1">'Source_Manifest'!$A$4:$O$104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;(#,##0.0);-"/>
    <numFmt numFmtId="165" formatCode="0.0%;(0.0%);-"/>
    <numFmt numFmtId="166" formatCode="0.0x;(0.0x);-"/>
    <numFmt numFmtId="167" formatCode="0.0"/>
  </numFmts>
  <fonts count="7">
    <font>
      <name val="Calibri"/>
      <family val="2"/>
      <color theme="1"/>
      <sz val="11"/>
      <scheme val="minor"/>
    </font>
    <font>
      <name val="Aptos Display"/>
      <b val="1"/>
      <color rgb="00D7FF3F"/>
      <sz val="22"/>
    </font>
    <font>
      <name val="Aptos"/>
      <i val="1"/>
      <color rgb="00A6A6AD"/>
      <sz val="10"/>
    </font>
    <font>
      <name val="Aptos"/>
      <color rgb="00F4F4F5"/>
      <sz val="10"/>
    </font>
    <font>
      <name val="Aptos Display"/>
      <b val="1"/>
      <color rgb="00D7FF3F"/>
      <sz val="10"/>
    </font>
    <font>
      <name val="Aptos"/>
      <color rgb="0069A7FF"/>
      <sz val="10"/>
    </font>
    <font>
      <name val="Aptos"/>
      <b val="1"/>
      <color rgb="00FF6B6B"/>
      <sz val="10"/>
    </font>
  </fonts>
  <fills count="4">
    <fill>
      <patternFill/>
    </fill>
    <fill>
      <patternFill patternType="gray125"/>
    </fill>
    <fill>
      <patternFill patternType="solid">
        <fgColor rgb="000B0B0D"/>
      </patternFill>
    </fill>
    <fill>
      <patternFill patternType="solid">
        <fgColor rgb="00151519"/>
      </patternFill>
    </fill>
  </fills>
  <borders count="2">
    <border>
      <left/>
      <right/>
      <top/>
      <bottom/>
      <diagonal/>
    </border>
    <border>
      <bottom style="thin">
        <color rgb="0033333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4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164" fontId="3" fillId="2" borderId="1" applyAlignment="1" pivotButton="0" quotePrefix="0" xfId="0">
      <alignment vertical="center" wrapText="1"/>
    </xf>
    <xf numFmtId="165" fontId="3" fillId="2" borderId="1" applyAlignment="1" pivotButton="0" quotePrefix="0" xfId="0">
      <alignment vertical="center" wrapText="1"/>
    </xf>
    <xf numFmtId="166" fontId="3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167" fontId="3" fillId="2" borderId="1" applyAlignment="1" pivotButton="0" quotePrefix="0" xfId="0">
      <alignment vertical="center" wrapText="1"/>
    </xf>
    <xf numFmtId="9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7FF3F"/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5" customWidth="1" min="2" max="2"/>
  </cols>
  <sheetData>
    <row r="1" ht="32" customHeight="1">
      <c r="A1" s="1" t="inlineStr">
        <is>
          <t>ASET / GLOBAL EQUITY RESEARCH</t>
        </is>
      </c>
    </row>
    <row r="2" ht="28" customHeight="1">
      <c r="A2" s="2" t="inlineStr">
        <is>
          <t>Original, provenance-first workbook • blank until official data is loaded</t>
        </is>
      </c>
    </row>
    <row r="4">
      <c r="A4" s="3" t="inlineStr">
        <is>
          <t>Purpose</t>
        </is>
      </c>
      <c r="B4" s="4" t="inlineStr">
        <is>
          <t>Deep company research and worldwide equity screening with auditable source mapping.</t>
        </is>
      </c>
    </row>
    <row r="5">
      <c r="A5" s="3" t="inlineStr">
        <is>
          <t>Data status</t>
        </is>
      </c>
      <c r="B5" s="4" t="inlineStr">
        <is>
          <t>TEMPLATE — no market figures or invented company data are included.</t>
        </is>
      </c>
    </row>
    <row r="6">
      <c r="A6" s="3" t="inlineStr">
        <is>
          <t>Source rule</t>
        </is>
      </c>
      <c r="B6" s="4" t="inlineStr">
        <is>
          <t>Only official sources in data/official_source_registry.csv and ASET provider records.</t>
        </is>
      </c>
    </row>
    <row r="7">
      <c r="A7" s="3" t="inlineStr">
        <is>
          <t>Scoring</t>
        </is>
      </c>
      <c r="B7" s="4" t="inlineStr">
        <is>
          <t>equity_v1: business 20%, financial quality 25%, valuation 20%, growth 15%, balance sheet 10%, risk 10%.</t>
        </is>
      </c>
    </row>
    <row r="8">
      <c r="A8" s="3" t="inlineStr">
        <is>
          <t>Coverage gate</t>
        </is>
      </c>
      <c r="B8" s="4" t="inlineStr">
        <is>
          <t>Do not rank a company with less than 60% weighted data coverage; label 60–&lt;80% provisional.</t>
        </is>
      </c>
    </row>
    <row r="9">
      <c r="A9" s="3" t="inlineStr">
        <is>
          <t>Important</t>
        </is>
      </c>
      <c r="B9" s="4" t="inlineStr">
        <is>
          <t>Research only. No trade execution, personalized advice, or transaction capability.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D7FF3F"/>
    <outlinePr summaryBelow="1" summaryRight="1"/>
    <pageSetUpPr fitToPage="1"/>
  </sheetPr>
  <dimension ref="A1:T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2" customWidth="1" min="4" max="4"/>
    <col width="18" customWidth="1" min="5" max="5"/>
    <col width="10" customWidth="1" min="6" max="6"/>
    <col width="13" customWidth="1" min="7" max="7"/>
    <col width="16" customWidth="1" min="8" max="8"/>
    <col width="15" customWidth="1" min="9" max="9"/>
    <col width="15" customWidth="1" min="10" max="10"/>
    <col width="15" customWidth="1" min="11" max="11"/>
    <col width="12" customWidth="1" min="12" max="12"/>
    <col width="14" customWidth="1" min="13" max="13"/>
    <col width="16" customWidth="1" min="14" max="14"/>
    <col width="16" customWidth="1" min="15" max="15"/>
    <col width="10" customWidth="1" min="16" max="16"/>
    <col width="13" customWidth="1" min="17" max="17"/>
    <col width="24" customWidth="1" min="18" max="18"/>
    <col width="16" customWidth="1" min="19" max="19"/>
    <col width="34" customWidth="1" min="20" max="20"/>
  </cols>
  <sheetData>
    <row r="1" ht="32" customHeight="1">
      <c r="A1" s="1" t="inlineStr">
        <is>
          <t>SCREEN / INPUT</t>
        </is>
      </c>
    </row>
    <row r="2" ht="28" customHeight="1">
      <c r="A2" s="2" t="inlineStr">
        <is>
          <t>Enter only verified values; blue text indicates user-entered source data</t>
        </is>
      </c>
    </row>
    <row r="4">
      <c r="A4" s="3" t="inlineStr">
        <is>
          <t>Ticker</t>
        </is>
      </c>
      <c r="B4" s="3" t="inlineStr">
        <is>
          <t>Issuer</t>
        </is>
      </c>
      <c r="C4" s="3" t="inlineStr">
        <is>
          <t>Country</t>
        </is>
      </c>
      <c r="D4" s="3" t="inlineStr">
        <is>
          <t>Exchange</t>
        </is>
      </c>
      <c r="E4" s="3" t="inlineStr">
        <is>
          <t>Sector</t>
        </is>
      </c>
      <c r="F4" s="3" t="inlineStr">
        <is>
          <t>Currency</t>
        </is>
      </c>
      <c r="G4" s="3" t="inlineStr">
        <is>
          <t>As Of</t>
        </is>
      </c>
      <c r="H4" s="3" t="inlineStr">
        <is>
          <t>Source Ref</t>
        </is>
      </c>
      <c r="I4" s="3" t="inlineStr">
        <is>
          <t>Market Cap</t>
        </is>
      </c>
      <c r="J4" s="3" t="inlineStr">
        <is>
          <t>Revenue</t>
        </is>
      </c>
      <c r="K4" s="3" t="inlineStr">
        <is>
          <t>EBITDA Margin</t>
        </is>
      </c>
      <c r="L4" s="3" t="inlineStr">
        <is>
          <t>ROIC</t>
        </is>
      </c>
      <c r="M4" s="3" t="inlineStr">
        <is>
          <t>FCF Margin</t>
        </is>
      </c>
      <c r="N4" s="3" t="inlineStr">
        <is>
          <t>Net Debt / EBITDA</t>
        </is>
      </c>
      <c r="O4" s="3" t="inlineStr">
        <is>
          <t>Revenue CAGR 5Y</t>
        </is>
      </c>
      <c r="P4" s="3" t="inlineStr">
        <is>
          <t>P/E</t>
        </is>
      </c>
      <c r="Q4" s="3" t="inlineStr">
        <is>
          <t>EV / EBITDA</t>
        </is>
      </c>
      <c r="R4" s="3" t="inlineStr">
        <is>
          <t>Liquidity Note</t>
        </is>
      </c>
      <c r="S4" s="3" t="inlineStr">
        <is>
          <t>Data Status</t>
        </is>
      </c>
      <c r="T4" s="3" t="inlineStr">
        <is>
          <t>Analyst Note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6" t="n"/>
      <c r="J5" s="6" t="n"/>
      <c r="K5" s="7" t="n"/>
      <c r="L5" s="7" t="n"/>
      <c r="M5" s="7" t="n"/>
      <c r="N5" s="8" t="n"/>
      <c r="O5" s="7" t="n"/>
      <c r="P5" s="8" t="n"/>
      <c r="Q5" s="8" t="n"/>
      <c r="R5" s="5" t="n"/>
      <c r="S5" s="5" t="n"/>
      <c r="T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6" t="n"/>
      <c r="J6" s="6" t="n"/>
      <c r="K6" s="7" t="n"/>
      <c r="L6" s="7" t="n"/>
      <c r="M6" s="7" t="n"/>
      <c r="N6" s="8" t="n"/>
      <c r="O6" s="7" t="n"/>
      <c r="P6" s="8" t="n"/>
      <c r="Q6" s="8" t="n"/>
      <c r="R6" s="5" t="n"/>
      <c r="S6" s="5" t="n"/>
      <c r="T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6" t="n"/>
      <c r="J7" s="6" t="n"/>
      <c r="K7" s="7" t="n"/>
      <c r="L7" s="7" t="n"/>
      <c r="M7" s="7" t="n"/>
      <c r="N7" s="8" t="n"/>
      <c r="O7" s="7" t="n"/>
      <c r="P7" s="8" t="n"/>
      <c r="Q7" s="8" t="n"/>
      <c r="R7" s="5" t="n"/>
      <c r="S7" s="5" t="n"/>
      <c r="T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6" t="n"/>
      <c r="J8" s="6" t="n"/>
      <c r="K8" s="7" t="n"/>
      <c r="L8" s="7" t="n"/>
      <c r="M8" s="7" t="n"/>
      <c r="N8" s="8" t="n"/>
      <c r="O8" s="7" t="n"/>
      <c r="P8" s="8" t="n"/>
      <c r="Q8" s="8" t="n"/>
      <c r="R8" s="5" t="n"/>
      <c r="S8" s="5" t="n"/>
      <c r="T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6" t="n"/>
      <c r="J9" s="6" t="n"/>
      <c r="K9" s="7" t="n"/>
      <c r="L9" s="7" t="n"/>
      <c r="M9" s="7" t="n"/>
      <c r="N9" s="8" t="n"/>
      <c r="O9" s="7" t="n"/>
      <c r="P9" s="8" t="n"/>
      <c r="Q9" s="8" t="n"/>
      <c r="R9" s="5" t="n"/>
      <c r="S9" s="5" t="n"/>
      <c r="T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6" t="n"/>
      <c r="J10" s="6" t="n"/>
      <c r="K10" s="7" t="n"/>
      <c r="L10" s="7" t="n"/>
      <c r="M10" s="7" t="n"/>
      <c r="N10" s="8" t="n"/>
      <c r="O10" s="7" t="n"/>
      <c r="P10" s="8" t="n"/>
      <c r="Q10" s="8" t="n"/>
      <c r="R10" s="5" t="n"/>
      <c r="S10" s="5" t="n"/>
      <c r="T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6" t="n"/>
      <c r="J11" s="6" t="n"/>
      <c r="K11" s="7" t="n"/>
      <c r="L11" s="7" t="n"/>
      <c r="M11" s="7" t="n"/>
      <c r="N11" s="8" t="n"/>
      <c r="O11" s="7" t="n"/>
      <c r="P11" s="8" t="n"/>
      <c r="Q11" s="8" t="n"/>
      <c r="R11" s="5" t="n"/>
      <c r="S11" s="5" t="n"/>
      <c r="T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6" t="n"/>
      <c r="J12" s="6" t="n"/>
      <c r="K12" s="7" t="n"/>
      <c r="L12" s="7" t="n"/>
      <c r="M12" s="7" t="n"/>
      <c r="N12" s="8" t="n"/>
      <c r="O12" s="7" t="n"/>
      <c r="P12" s="8" t="n"/>
      <c r="Q12" s="8" t="n"/>
      <c r="R12" s="5" t="n"/>
      <c r="S12" s="5" t="n"/>
      <c r="T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6" t="n"/>
      <c r="J13" s="6" t="n"/>
      <c r="K13" s="7" t="n"/>
      <c r="L13" s="7" t="n"/>
      <c r="M13" s="7" t="n"/>
      <c r="N13" s="8" t="n"/>
      <c r="O13" s="7" t="n"/>
      <c r="P13" s="8" t="n"/>
      <c r="Q13" s="8" t="n"/>
      <c r="R13" s="5" t="n"/>
      <c r="S13" s="5" t="n"/>
      <c r="T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6" t="n"/>
      <c r="J14" s="6" t="n"/>
      <c r="K14" s="7" t="n"/>
      <c r="L14" s="7" t="n"/>
      <c r="M14" s="7" t="n"/>
      <c r="N14" s="8" t="n"/>
      <c r="O14" s="7" t="n"/>
      <c r="P14" s="8" t="n"/>
      <c r="Q14" s="8" t="n"/>
      <c r="R14" s="5" t="n"/>
      <c r="S14" s="5" t="n"/>
      <c r="T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6" t="n"/>
      <c r="J15" s="6" t="n"/>
      <c r="K15" s="7" t="n"/>
      <c r="L15" s="7" t="n"/>
      <c r="M15" s="7" t="n"/>
      <c r="N15" s="8" t="n"/>
      <c r="O15" s="7" t="n"/>
      <c r="P15" s="8" t="n"/>
      <c r="Q15" s="8" t="n"/>
      <c r="R15" s="5" t="n"/>
      <c r="S15" s="5" t="n"/>
      <c r="T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6" t="n"/>
      <c r="J16" s="6" t="n"/>
      <c r="K16" s="7" t="n"/>
      <c r="L16" s="7" t="n"/>
      <c r="M16" s="7" t="n"/>
      <c r="N16" s="8" t="n"/>
      <c r="O16" s="7" t="n"/>
      <c r="P16" s="8" t="n"/>
      <c r="Q16" s="8" t="n"/>
      <c r="R16" s="5" t="n"/>
      <c r="S16" s="5" t="n"/>
      <c r="T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6" t="n"/>
      <c r="J17" s="6" t="n"/>
      <c r="K17" s="7" t="n"/>
      <c r="L17" s="7" t="n"/>
      <c r="M17" s="7" t="n"/>
      <c r="N17" s="8" t="n"/>
      <c r="O17" s="7" t="n"/>
      <c r="P17" s="8" t="n"/>
      <c r="Q17" s="8" t="n"/>
      <c r="R17" s="5" t="n"/>
      <c r="S17" s="5" t="n"/>
      <c r="T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6" t="n"/>
      <c r="J18" s="6" t="n"/>
      <c r="K18" s="7" t="n"/>
      <c r="L18" s="7" t="n"/>
      <c r="M18" s="7" t="n"/>
      <c r="N18" s="8" t="n"/>
      <c r="O18" s="7" t="n"/>
      <c r="P18" s="8" t="n"/>
      <c r="Q18" s="8" t="n"/>
      <c r="R18" s="5" t="n"/>
      <c r="S18" s="5" t="n"/>
      <c r="T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6" t="n"/>
      <c r="J19" s="6" t="n"/>
      <c r="K19" s="7" t="n"/>
      <c r="L19" s="7" t="n"/>
      <c r="M19" s="7" t="n"/>
      <c r="N19" s="8" t="n"/>
      <c r="O19" s="7" t="n"/>
      <c r="P19" s="8" t="n"/>
      <c r="Q19" s="8" t="n"/>
      <c r="R19" s="5" t="n"/>
      <c r="S19" s="5" t="n"/>
      <c r="T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6" t="n"/>
      <c r="J20" s="6" t="n"/>
      <c r="K20" s="7" t="n"/>
      <c r="L20" s="7" t="n"/>
      <c r="M20" s="7" t="n"/>
      <c r="N20" s="8" t="n"/>
      <c r="O20" s="7" t="n"/>
      <c r="P20" s="8" t="n"/>
      <c r="Q20" s="8" t="n"/>
      <c r="R20" s="5" t="n"/>
      <c r="S20" s="5" t="n"/>
      <c r="T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6" t="n"/>
      <c r="J21" s="6" t="n"/>
      <c r="K21" s="7" t="n"/>
      <c r="L21" s="7" t="n"/>
      <c r="M21" s="7" t="n"/>
      <c r="N21" s="8" t="n"/>
      <c r="O21" s="7" t="n"/>
      <c r="P21" s="8" t="n"/>
      <c r="Q21" s="8" t="n"/>
      <c r="R21" s="5" t="n"/>
      <c r="S21" s="5" t="n"/>
      <c r="T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6" t="n"/>
      <c r="J22" s="6" t="n"/>
      <c r="K22" s="7" t="n"/>
      <c r="L22" s="7" t="n"/>
      <c r="M22" s="7" t="n"/>
      <c r="N22" s="8" t="n"/>
      <c r="O22" s="7" t="n"/>
      <c r="P22" s="8" t="n"/>
      <c r="Q22" s="8" t="n"/>
      <c r="R22" s="5" t="n"/>
      <c r="S22" s="5" t="n"/>
      <c r="T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6" t="n"/>
      <c r="J23" s="6" t="n"/>
      <c r="K23" s="7" t="n"/>
      <c r="L23" s="7" t="n"/>
      <c r="M23" s="7" t="n"/>
      <c r="N23" s="8" t="n"/>
      <c r="O23" s="7" t="n"/>
      <c r="P23" s="8" t="n"/>
      <c r="Q23" s="8" t="n"/>
      <c r="R23" s="5" t="n"/>
      <c r="S23" s="5" t="n"/>
      <c r="T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6" t="n"/>
      <c r="J24" s="6" t="n"/>
      <c r="K24" s="7" t="n"/>
      <c r="L24" s="7" t="n"/>
      <c r="M24" s="7" t="n"/>
      <c r="N24" s="8" t="n"/>
      <c r="O24" s="7" t="n"/>
      <c r="P24" s="8" t="n"/>
      <c r="Q24" s="8" t="n"/>
      <c r="R24" s="5" t="n"/>
      <c r="S24" s="5" t="n"/>
      <c r="T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6" t="n"/>
      <c r="J25" s="6" t="n"/>
      <c r="K25" s="7" t="n"/>
      <c r="L25" s="7" t="n"/>
      <c r="M25" s="7" t="n"/>
      <c r="N25" s="8" t="n"/>
      <c r="O25" s="7" t="n"/>
      <c r="P25" s="8" t="n"/>
      <c r="Q25" s="8" t="n"/>
      <c r="R25" s="5" t="n"/>
      <c r="S25" s="5" t="n"/>
      <c r="T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6" t="n"/>
      <c r="J26" s="6" t="n"/>
      <c r="K26" s="7" t="n"/>
      <c r="L26" s="7" t="n"/>
      <c r="M26" s="7" t="n"/>
      <c r="N26" s="8" t="n"/>
      <c r="O26" s="7" t="n"/>
      <c r="P26" s="8" t="n"/>
      <c r="Q26" s="8" t="n"/>
      <c r="R26" s="5" t="n"/>
      <c r="S26" s="5" t="n"/>
      <c r="T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6" t="n"/>
      <c r="J27" s="6" t="n"/>
      <c r="K27" s="7" t="n"/>
      <c r="L27" s="7" t="n"/>
      <c r="M27" s="7" t="n"/>
      <c r="N27" s="8" t="n"/>
      <c r="O27" s="7" t="n"/>
      <c r="P27" s="8" t="n"/>
      <c r="Q27" s="8" t="n"/>
      <c r="R27" s="5" t="n"/>
      <c r="S27" s="5" t="n"/>
      <c r="T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6" t="n"/>
      <c r="J28" s="6" t="n"/>
      <c r="K28" s="7" t="n"/>
      <c r="L28" s="7" t="n"/>
      <c r="M28" s="7" t="n"/>
      <c r="N28" s="8" t="n"/>
      <c r="O28" s="7" t="n"/>
      <c r="P28" s="8" t="n"/>
      <c r="Q28" s="8" t="n"/>
      <c r="R28" s="5" t="n"/>
      <c r="S28" s="5" t="n"/>
      <c r="T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6" t="n"/>
      <c r="J29" s="6" t="n"/>
      <c r="K29" s="7" t="n"/>
      <c r="L29" s="7" t="n"/>
      <c r="M29" s="7" t="n"/>
      <c r="N29" s="8" t="n"/>
      <c r="O29" s="7" t="n"/>
      <c r="P29" s="8" t="n"/>
      <c r="Q29" s="8" t="n"/>
      <c r="R29" s="5" t="n"/>
      <c r="S29" s="5" t="n"/>
      <c r="T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6" t="n"/>
      <c r="J30" s="6" t="n"/>
      <c r="K30" s="7" t="n"/>
      <c r="L30" s="7" t="n"/>
      <c r="M30" s="7" t="n"/>
      <c r="N30" s="8" t="n"/>
      <c r="O30" s="7" t="n"/>
      <c r="P30" s="8" t="n"/>
      <c r="Q30" s="8" t="n"/>
      <c r="R30" s="5" t="n"/>
      <c r="S30" s="5" t="n"/>
      <c r="T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6" t="n"/>
      <c r="J31" s="6" t="n"/>
      <c r="K31" s="7" t="n"/>
      <c r="L31" s="7" t="n"/>
      <c r="M31" s="7" t="n"/>
      <c r="N31" s="8" t="n"/>
      <c r="O31" s="7" t="n"/>
      <c r="P31" s="8" t="n"/>
      <c r="Q31" s="8" t="n"/>
      <c r="R31" s="5" t="n"/>
      <c r="S31" s="5" t="n"/>
      <c r="T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6" t="n"/>
      <c r="J32" s="6" t="n"/>
      <c r="K32" s="7" t="n"/>
      <c r="L32" s="7" t="n"/>
      <c r="M32" s="7" t="n"/>
      <c r="N32" s="8" t="n"/>
      <c r="O32" s="7" t="n"/>
      <c r="P32" s="8" t="n"/>
      <c r="Q32" s="8" t="n"/>
      <c r="R32" s="5" t="n"/>
      <c r="S32" s="5" t="n"/>
      <c r="T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6" t="n"/>
      <c r="J33" s="6" t="n"/>
      <c r="K33" s="7" t="n"/>
      <c r="L33" s="7" t="n"/>
      <c r="M33" s="7" t="n"/>
      <c r="N33" s="8" t="n"/>
      <c r="O33" s="7" t="n"/>
      <c r="P33" s="8" t="n"/>
      <c r="Q33" s="8" t="n"/>
      <c r="R33" s="5" t="n"/>
      <c r="S33" s="5" t="n"/>
      <c r="T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6" t="n"/>
      <c r="J34" s="6" t="n"/>
      <c r="K34" s="7" t="n"/>
      <c r="L34" s="7" t="n"/>
      <c r="M34" s="7" t="n"/>
      <c r="N34" s="8" t="n"/>
      <c r="O34" s="7" t="n"/>
      <c r="P34" s="8" t="n"/>
      <c r="Q34" s="8" t="n"/>
      <c r="R34" s="5" t="n"/>
      <c r="S34" s="5" t="n"/>
      <c r="T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6" t="n"/>
      <c r="J35" s="6" t="n"/>
      <c r="K35" s="7" t="n"/>
      <c r="L35" s="7" t="n"/>
      <c r="M35" s="7" t="n"/>
      <c r="N35" s="8" t="n"/>
      <c r="O35" s="7" t="n"/>
      <c r="P35" s="8" t="n"/>
      <c r="Q35" s="8" t="n"/>
      <c r="R35" s="5" t="n"/>
      <c r="S35" s="5" t="n"/>
      <c r="T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6" t="n"/>
      <c r="J36" s="6" t="n"/>
      <c r="K36" s="7" t="n"/>
      <c r="L36" s="7" t="n"/>
      <c r="M36" s="7" t="n"/>
      <c r="N36" s="8" t="n"/>
      <c r="O36" s="7" t="n"/>
      <c r="P36" s="8" t="n"/>
      <c r="Q36" s="8" t="n"/>
      <c r="R36" s="5" t="n"/>
      <c r="S36" s="5" t="n"/>
      <c r="T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6" t="n"/>
      <c r="J37" s="6" t="n"/>
      <c r="K37" s="7" t="n"/>
      <c r="L37" s="7" t="n"/>
      <c r="M37" s="7" t="n"/>
      <c r="N37" s="8" t="n"/>
      <c r="O37" s="7" t="n"/>
      <c r="P37" s="8" t="n"/>
      <c r="Q37" s="8" t="n"/>
      <c r="R37" s="5" t="n"/>
      <c r="S37" s="5" t="n"/>
      <c r="T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6" t="n"/>
      <c r="J38" s="6" t="n"/>
      <c r="K38" s="7" t="n"/>
      <c r="L38" s="7" t="n"/>
      <c r="M38" s="7" t="n"/>
      <c r="N38" s="8" t="n"/>
      <c r="O38" s="7" t="n"/>
      <c r="P38" s="8" t="n"/>
      <c r="Q38" s="8" t="n"/>
      <c r="R38" s="5" t="n"/>
      <c r="S38" s="5" t="n"/>
      <c r="T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6" t="n"/>
      <c r="J39" s="6" t="n"/>
      <c r="K39" s="7" t="n"/>
      <c r="L39" s="7" t="n"/>
      <c r="M39" s="7" t="n"/>
      <c r="N39" s="8" t="n"/>
      <c r="O39" s="7" t="n"/>
      <c r="P39" s="8" t="n"/>
      <c r="Q39" s="8" t="n"/>
      <c r="R39" s="5" t="n"/>
      <c r="S39" s="5" t="n"/>
      <c r="T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6" t="n"/>
      <c r="J40" s="6" t="n"/>
      <c r="K40" s="7" t="n"/>
      <c r="L40" s="7" t="n"/>
      <c r="M40" s="7" t="n"/>
      <c r="N40" s="8" t="n"/>
      <c r="O40" s="7" t="n"/>
      <c r="P40" s="8" t="n"/>
      <c r="Q40" s="8" t="n"/>
      <c r="R40" s="5" t="n"/>
      <c r="S40" s="5" t="n"/>
      <c r="T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6" t="n"/>
      <c r="J41" s="6" t="n"/>
      <c r="K41" s="7" t="n"/>
      <c r="L41" s="7" t="n"/>
      <c r="M41" s="7" t="n"/>
      <c r="N41" s="8" t="n"/>
      <c r="O41" s="7" t="n"/>
      <c r="P41" s="8" t="n"/>
      <c r="Q41" s="8" t="n"/>
      <c r="R41" s="5" t="n"/>
      <c r="S41" s="5" t="n"/>
      <c r="T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6" t="n"/>
      <c r="J42" s="6" t="n"/>
      <c r="K42" s="7" t="n"/>
      <c r="L42" s="7" t="n"/>
      <c r="M42" s="7" t="n"/>
      <c r="N42" s="8" t="n"/>
      <c r="O42" s="7" t="n"/>
      <c r="P42" s="8" t="n"/>
      <c r="Q42" s="8" t="n"/>
      <c r="R42" s="5" t="n"/>
      <c r="S42" s="5" t="n"/>
      <c r="T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6" t="n"/>
      <c r="J43" s="6" t="n"/>
      <c r="K43" s="7" t="n"/>
      <c r="L43" s="7" t="n"/>
      <c r="M43" s="7" t="n"/>
      <c r="N43" s="8" t="n"/>
      <c r="O43" s="7" t="n"/>
      <c r="P43" s="8" t="n"/>
      <c r="Q43" s="8" t="n"/>
      <c r="R43" s="5" t="n"/>
      <c r="S43" s="5" t="n"/>
      <c r="T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6" t="n"/>
      <c r="J44" s="6" t="n"/>
      <c r="K44" s="7" t="n"/>
      <c r="L44" s="7" t="n"/>
      <c r="M44" s="7" t="n"/>
      <c r="N44" s="8" t="n"/>
      <c r="O44" s="7" t="n"/>
      <c r="P44" s="8" t="n"/>
      <c r="Q44" s="8" t="n"/>
      <c r="R44" s="5" t="n"/>
      <c r="S44" s="5" t="n"/>
      <c r="T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6" t="n"/>
      <c r="J45" s="6" t="n"/>
      <c r="K45" s="7" t="n"/>
      <c r="L45" s="7" t="n"/>
      <c r="M45" s="7" t="n"/>
      <c r="N45" s="8" t="n"/>
      <c r="O45" s="7" t="n"/>
      <c r="P45" s="8" t="n"/>
      <c r="Q45" s="8" t="n"/>
      <c r="R45" s="5" t="n"/>
      <c r="S45" s="5" t="n"/>
      <c r="T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6" t="n"/>
      <c r="J46" s="6" t="n"/>
      <c r="K46" s="7" t="n"/>
      <c r="L46" s="7" t="n"/>
      <c r="M46" s="7" t="n"/>
      <c r="N46" s="8" t="n"/>
      <c r="O46" s="7" t="n"/>
      <c r="P46" s="8" t="n"/>
      <c r="Q46" s="8" t="n"/>
      <c r="R46" s="5" t="n"/>
      <c r="S46" s="5" t="n"/>
      <c r="T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6" t="n"/>
      <c r="J47" s="6" t="n"/>
      <c r="K47" s="7" t="n"/>
      <c r="L47" s="7" t="n"/>
      <c r="M47" s="7" t="n"/>
      <c r="N47" s="8" t="n"/>
      <c r="O47" s="7" t="n"/>
      <c r="P47" s="8" t="n"/>
      <c r="Q47" s="8" t="n"/>
      <c r="R47" s="5" t="n"/>
      <c r="S47" s="5" t="n"/>
      <c r="T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6" t="n"/>
      <c r="J48" s="6" t="n"/>
      <c r="K48" s="7" t="n"/>
      <c r="L48" s="7" t="n"/>
      <c r="M48" s="7" t="n"/>
      <c r="N48" s="8" t="n"/>
      <c r="O48" s="7" t="n"/>
      <c r="P48" s="8" t="n"/>
      <c r="Q48" s="8" t="n"/>
      <c r="R48" s="5" t="n"/>
      <c r="S48" s="5" t="n"/>
      <c r="T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6" t="n"/>
      <c r="J49" s="6" t="n"/>
      <c r="K49" s="7" t="n"/>
      <c r="L49" s="7" t="n"/>
      <c r="M49" s="7" t="n"/>
      <c r="N49" s="8" t="n"/>
      <c r="O49" s="7" t="n"/>
      <c r="P49" s="8" t="n"/>
      <c r="Q49" s="8" t="n"/>
      <c r="R49" s="5" t="n"/>
      <c r="S49" s="5" t="n"/>
      <c r="T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6" t="n"/>
      <c r="J50" s="6" t="n"/>
      <c r="K50" s="7" t="n"/>
      <c r="L50" s="7" t="n"/>
      <c r="M50" s="7" t="n"/>
      <c r="N50" s="8" t="n"/>
      <c r="O50" s="7" t="n"/>
      <c r="P50" s="8" t="n"/>
      <c r="Q50" s="8" t="n"/>
      <c r="R50" s="5" t="n"/>
      <c r="S50" s="5" t="n"/>
      <c r="T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6" t="n"/>
      <c r="J51" s="6" t="n"/>
      <c r="K51" s="7" t="n"/>
      <c r="L51" s="7" t="n"/>
      <c r="M51" s="7" t="n"/>
      <c r="N51" s="8" t="n"/>
      <c r="O51" s="7" t="n"/>
      <c r="P51" s="8" t="n"/>
      <c r="Q51" s="8" t="n"/>
      <c r="R51" s="5" t="n"/>
      <c r="S51" s="5" t="n"/>
      <c r="T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6" t="n"/>
      <c r="J52" s="6" t="n"/>
      <c r="K52" s="7" t="n"/>
      <c r="L52" s="7" t="n"/>
      <c r="M52" s="7" t="n"/>
      <c r="N52" s="8" t="n"/>
      <c r="O52" s="7" t="n"/>
      <c r="P52" s="8" t="n"/>
      <c r="Q52" s="8" t="n"/>
      <c r="R52" s="5" t="n"/>
      <c r="S52" s="5" t="n"/>
      <c r="T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6" t="n"/>
      <c r="J53" s="6" t="n"/>
      <c r="K53" s="7" t="n"/>
      <c r="L53" s="7" t="n"/>
      <c r="M53" s="7" t="n"/>
      <c r="N53" s="8" t="n"/>
      <c r="O53" s="7" t="n"/>
      <c r="P53" s="8" t="n"/>
      <c r="Q53" s="8" t="n"/>
      <c r="R53" s="5" t="n"/>
      <c r="S53" s="5" t="n"/>
      <c r="T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6" t="n"/>
      <c r="J54" s="6" t="n"/>
      <c r="K54" s="7" t="n"/>
      <c r="L54" s="7" t="n"/>
      <c r="M54" s="7" t="n"/>
      <c r="N54" s="8" t="n"/>
      <c r="O54" s="7" t="n"/>
      <c r="P54" s="8" t="n"/>
      <c r="Q54" s="8" t="n"/>
      <c r="R54" s="5" t="n"/>
      <c r="S54" s="5" t="n"/>
      <c r="T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6" t="n"/>
      <c r="J55" s="6" t="n"/>
      <c r="K55" s="7" t="n"/>
      <c r="L55" s="7" t="n"/>
      <c r="M55" s="7" t="n"/>
      <c r="N55" s="8" t="n"/>
      <c r="O55" s="7" t="n"/>
      <c r="P55" s="8" t="n"/>
      <c r="Q55" s="8" t="n"/>
      <c r="R55" s="5" t="n"/>
      <c r="S55" s="5" t="n"/>
      <c r="T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6" t="n"/>
      <c r="J56" s="6" t="n"/>
      <c r="K56" s="7" t="n"/>
      <c r="L56" s="7" t="n"/>
      <c r="M56" s="7" t="n"/>
      <c r="N56" s="8" t="n"/>
      <c r="O56" s="7" t="n"/>
      <c r="P56" s="8" t="n"/>
      <c r="Q56" s="8" t="n"/>
      <c r="R56" s="5" t="n"/>
      <c r="S56" s="5" t="n"/>
      <c r="T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6" t="n"/>
      <c r="J57" s="6" t="n"/>
      <c r="K57" s="7" t="n"/>
      <c r="L57" s="7" t="n"/>
      <c r="M57" s="7" t="n"/>
      <c r="N57" s="8" t="n"/>
      <c r="O57" s="7" t="n"/>
      <c r="P57" s="8" t="n"/>
      <c r="Q57" s="8" t="n"/>
      <c r="R57" s="5" t="n"/>
      <c r="S57" s="5" t="n"/>
      <c r="T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6" t="n"/>
      <c r="J58" s="6" t="n"/>
      <c r="K58" s="7" t="n"/>
      <c r="L58" s="7" t="n"/>
      <c r="M58" s="7" t="n"/>
      <c r="N58" s="8" t="n"/>
      <c r="O58" s="7" t="n"/>
      <c r="P58" s="8" t="n"/>
      <c r="Q58" s="8" t="n"/>
      <c r="R58" s="5" t="n"/>
      <c r="S58" s="5" t="n"/>
      <c r="T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6" t="n"/>
      <c r="J59" s="6" t="n"/>
      <c r="K59" s="7" t="n"/>
      <c r="L59" s="7" t="n"/>
      <c r="M59" s="7" t="n"/>
      <c r="N59" s="8" t="n"/>
      <c r="O59" s="7" t="n"/>
      <c r="P59" s="8" t="n"/>
      <c r="Q59" s="8" t="n"/>
      <c r="R59" s="5" t="n"/>
      <c r="S59" s="5" t="n"/>
      <c r="T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6" t="n"/>
      <c r="J60" s="6" t="n"/>
      <c r="K60" s="7" t="n"/>
      <c r="L60" s="7" t="n"/>
      <c r="M60" s="7" t="n"/>
      <c r="N60" s="8" t="n"/>
      <c r="O60" s="7" t="n"/>
      <c r="P60" s="8" t="n"/>
      <c r="Q60" s="8" t="n"/>
      <c r="R60" s="5" t="n"/>
      <c r="S60" s="5" t="n"/>
      <c r="T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6" t="n"/>
      <c r="J61" s="6" t="n"/>
      <c r="K61" s="7" t="n"/>
      <c r="L61" s="7" t="n"/>
      <c r="M61" s="7" t="n"/>
      <c r="N61" s="8" t="n"/>
      <c r="O61" s="7" t="n"/>
      <c r="P61" s="8" t="n"/>
      <c r="Q61" s="8" t="n"/>
      <c r="R61" s="5" t="n"/>
      <c r="S61" s="5" t="n"/>
      <c r="T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6" t="n"/>
      <c r="J62" s="6" t="n"/>
      <c r="K62" s="7" t="n"/>
      <c r="L62" s="7" t="n"/>
      <c r="M62" s="7" t="n"/>
      <c r="N62" s="8" t="n"/>
      <c r="O62" s="7" t="n"/>
      <c r="P62" s="8" t="n"/>
      <c r="Q62" s="8" t="n"/>
      <c r="R62" s="5" t="n"/>
      <c r="S62" s="5" t="n"/>
      <c r="T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6" t="n"/>
      <c r="J63" s="6" t="n"/>
      <c r="K63" s="7" t="n"/>
      <c r="L63" s="7" t="n"/>
      <c r="M63" s="7" t="n"/>
      <c r="N63" s="8" t="n"/>
      <c r="O63" s="7" t="n"/>
      <c r="P63" s="8" t="n"/>
      <c r="Q63" s="8" t="n"/>
      <c r="R63" s="5" t="n"/>
      <c r="S63" s="5" t="n"/>
      <c r="T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6" t="n"/>
      <c r="J64" s="6" t="n"/>
      <c r="K64" s="7" t="n"/>
      <c r="L64" s="7" t="n"/>
      <c r="M64" s="7" t="n"/>
      <c r="N64" s="8" t="n"/>
      <c r="O64" s="7" t="n"/>
      <c r="P64" s="8" t="n"/>
      <c r="Q64" s="8" t="n"/>
      <c r="R64" s="5" t="n"/>
      <c r="S64" s="5" t="n"/>
      <c r="T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6" t="n"/>
      <c r="J65" s="6" t="n"/>
      <c r="K65" s="7" t="n"/>
      <c r="L65" s="7" t="n"/>
      <c r="M65" s="7" t="n"/>
      <c r="N65" s="8" t="n"/>
      <c r="O65" s="7" t="n"/>
      <c r="P65" s="8" t="n"/>
      <c r="Q65" s="8" t="n"/>
      <c r="R65" s="5" t="n"/>
      <c r="S65" s="5" t="n"/>
      <c r="T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6" t="n"/>
      <c r="J66" s="6" t="n"/>
      <c r="K66" s="7" t="n"/>
      <c r="L66" s="7" t="n"/>
      <c r="M66" s="7" t="n"/>
      <c r="N66" s="8" t="n"/>
      <c r="O66" s="7" t="n"/>
      <c r="P66" s="8" t="n"/>
      <c r="Q66" s="8" t="n"/>
      <c r="R66" s="5" t="n"/>
      <c r="S66" s="5" t="n"/>
      <c r="T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6" t="n"/>
      <c r="J67" s="6" t="n"/>
      <c r="K67" s="7" t="n"/>
      <c r="L67" s="7" t="n"/>
      <c r="M67" s="7" t="n"/>
      <c r="N67" s="8" t="n"/>
      <c r="O67" s="7" t="n"/>
      <c r="P67" s="8" t="n"/>
      <c r="Q67" s="8" t="n"/>
      <c r="R67" s="5" t="n"/>
      <c r="S67" s="5" t="n"/>
      <c r="T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6" t="n"/>
      <c r="J68" s="6" t="n"/>
      <c r="K68" s="7" t="n"/>
      <c r="L68" s="7" t="n"/>
      <c r="M68" s="7" t="n"/>
      <c r="N68" s="8" t="n"/>
      <c r="O68" s="7" t="n"/>
      <c r="P68" s="8" t="n"/>
      <c r="Q68" s="8" t="n"/>
      <c r="R68" s="5" t="n"/>
      <c r="S68" s="5" t="n"/>
      <c r="T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6" t="n"/>
      <c r="J69" s="6" t="n"/>
      <c r="K69" s="7" t="n"/>
      <c r="L69" s="7" t="n"/>
      <c r="M69" s="7" t="n"/>
      <c r="N69" s="8" t="n"/>
      <c r="O69" s="7" t="n"/>
      <c r="P69" s="8" t="n"/>
      <c r="Q69" s="8" t="n"/>
      <c r="R69" s="5" t="n"/>
      <c r="S69" s="5" t="n"/>
      <c r="T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6" t="n"/>
      <c r="J70" s="6" t="n"/>
      <c r="K70" s="7" t="n"/>
      <c r="L70" s="7" t="n"/>
      <c r="M70" s="7" t="n"/>
      <c r="N70" s="8" t="n"/>
      <c r="O70" s="7" t="n"/>
      <c r="P70" s="8" t="n"/>
      <c r="Q70" s="8" t="n"/>
      <c r="R70" s="5" t="n"/>
      <c r="S70" s="5" t="n"/>
      <c r="T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6" t="n"/>
      <c r="J71" s="6" t="n"/>
      <c r="K71" s="7" t="n"/>
      <c r="L71" s="7" t="n"/>
      <c r="M71" s="7" t="n"/>
      <c r="N71" s="8" t="n"/>
      <c r="O71" s="7" t="n"/>
      <c r="P71" s="8" t="n"/>
      <c r="Q71" s="8" t="n"/>
      <c r="R71" s="5" t="n"/>
      <c r="S71" s="5" t="n"/>
      <c r="T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6" t="n"/>
      <c r="J72" s="6" t="n"/>
      <c r="K72" s="7" t="n"/>
      <c r="L72" s="7" t="n"/>
      <c r="M72" s="7" t="n"/>
      <c r="N72" s="8" t="n"/>
      <c r="O72" s="7" t="n"/>
      <c r="P72" s="8" t="n"/>
      <c r="Q72" s="8" t="n"/>
      <c r="R72" s="5" t="n"/>
      <c r="S72" s="5" t="n"/>
      <c r="T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6" t="n"/>
      <c r="J73" s="6" t="n"/>
      <c r="K73" s="7" t="n"/>
      <c r="L73" s="7" t="n"/>
      <c r="M73" s="7" t="n"/>
      <c r="N73" s="8" t="n"/>
      <c r="O73" s="7" t="n"/>
      <c r="P73" s="8" t="n"/>
      <c r="Q73" s="8" t="n"/>
      <c r="R73" s="5" t="n"/>
      <c r="S73" s="5" t="n"/>
      <c r="T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6" t="n"/>
      <c r="J74" s="6" t="n"/>
      <c r="K74" s="7" t="n"/>
      <c r="L74" s="7" t="n"/>
      <c r="M74" s="7" t="n"/>
      <c r="N74" s="8" t="n"/>
      <c r="O74" s="7" t="n"/>
      <c r="P74" s="8" t="n"/>
      <c r="Q74" s="8" t="n"/>
      <c r="R74" s="5" t="n"/>
      <c r="S74" s="5" t="n"/>
      <c r="T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6" t="n"/>
      <c r="J75" s="6" t="n"/>
      <c r="K75" s="7" t="n"/>
      <c r="L75" s="7" t="n"/>
      <c r="M75" s="7" t="n"/>
      <c r="N75" s="8" t="n"/>
      <c r="O75" s="7" t="n"/>
      <c r="P75" s="8" t="n"/>
      <c r="Q75" s="8" t="n"/>
      <c r="R75" s="5" t="n"/>
      <c r="S75" s="5" t="n"/>
      <c r="T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6" t="n"/>
      <c r="J76" s="6" t="n"/>
      <c r="K76" s="7" t="n"/>
      <c r="L76" s="7" t="n"/>
      <c r="M76" s="7" t="n"/>
      <c r="N76" s="8" t="n"/>
      <c r="O76" s="7" t="n"/>
      <c r="P76" s="8" t="n"/>
      <c r="Q76" s="8" t="n"/>
      <c r="R76" s="5" t="n"/>
      <c r="S76" s="5" t="n"/>
      <c r="T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6" t="n"/>
      <c r="J77" s="6" t="n"/>
      <c r="K77" s="7" t="n"/>
      <c r="L77" s="7" t="n"/>
      <c r="M77" s="7" t="n"/>
      <c r="N77" s="8" t="n"/>
      <c r="O77" s="7" t="n"/>
      <c r="P77" s="8" t="n"/>
      <c r="Q77" s="8" t="n"/>
      <c r="R77" s="5" t="n"/>
      <c r="S77" s="5" t="n"/>
      <c r="T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6" t="n"/>
      <c r="J78" s="6" t="n"/>
      <c r="K78" s="7" t="n"/>
      <c r="L78" s="7" t="n"/>
      <c r="M78" s="7" t="n"/>
      <c r="N78" s="8" t="n"/>
      <c r="O78" s="7" t="n"/>
      <c r="P78" s="8" t="n"/>
      <c r="Q78" s="8" t="n"/>
      <c r="R78" s="5" t="n"/>
      <c r="S78" s="5" t="n"/>
      <c r="T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6" t="n"/>
      <c r="J79" s="6" t="n"/>
      <c r="K79" s="7" t="n"/>
      <c r="L79" s="7" t="n"/>
      <c r="M79" s="7" t="n"/>
      <c r="N79" s="8" t="n"/>
      <c r="O79" s="7" t="n"/>
      <c r="P79" s="8" t="n"/>
      <c r="Q79" s="8" t="n"/>
      <c r="R79" s="5" t="n"/>
      <c r="S79" s="5" t="n"/>
      <c r="T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6" t="n"/>
      <c r="J80" s="6" t="n"/>
      <c r="K80" s="7" t="n"/>
      <c r="L80" s="7" t="n"/>
      <c r="M80" s="7" t="n"/>
      <c r="N80" s="8" t="n"/>
      <c r="O80" s="7" t="n"/>
      <c r="P80" s="8" t="n"/>
      <c r="Q80" s="8" t="n"/>
      <c r="R80" s="5" t="n"/>
      <c r="S80" s="5" t="n"/>
      <c r="T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6" t="n"/>
      <c r="J81" s="6" t="n"/>
      <c r="K81" s="7" t="n"/>
      <c r="L81" s="7" t="n"/>
      <c r="M81" s="7" t="n"/>
      <c r="N81" s="8" t="n"/>
      <c r="O81" s="7" t="n"/>
      <c r="P81" s="8" t="n"/>
      <c r="Q81" s="8" t="n"/>
      <c r="R81" s="5" t="n"/>
      <c r="S81" s="5" t="n"/>
      <c r="T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6" t="n"/>
      <c r="J82" s="6" t="n"/>
      <c r="K82" s="7" t="n"/>
      <c r="L82" s="7" t="n"/>
      <c r="M82" s="7" t="n"/>
      <c r="N82" s="8" t="n"/>
      <c r="O82" s="7" t="n"/>
      <c r="P82" s="8" t="n"/>
      <c r="Q82" s="8" t="n"/>
      <c r="R82" s="5" t="n"/>
      <c r="S82" s="5" t="n"/>
      <c r="T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6" t="n"/>
      <c r="J83" s="6" t="n"/>
      <c r="K83" s="7" t="n"/>
      <c r="L83" s="7" t="n"/>
      <c r="M83" s="7" t="n"/>
      <c r="N83" s="8" t="n"/>
      <c r="O83" s="7" t="n"/>
      <c r="P83" s="8" t="n"/>
      <c r="Q83" s="8" t="n"/>
      <c r="R83" s="5" t="n"/>
      <c r="S83" s="5" t="n"/>
      <c r="T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6" t="n"/>
      <c r="J84" s="6" t="n"/>
      <c r="K84" s="7" t="n"/>
      <c r="L84" s="7" t="n"/>
      <c r="M84" s="7" t="n"/>
      <c r="N84" s="8" t="n"/>
      <c r="O84" s="7" t="n"/>
      <c r="P84" s="8" t="n"/>
      <c r="Q84" s="8" t="n"/>
      <c r="R84" s="5" t="n"/>
      <c r="S84" s="5" t="n"/>
      <c r="T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6" t="n"/>
      <c r="J85" s="6" t="n"/>
      <c r="K85" s="7" t="n"/>
      <c r="L85" s="7" t="n"/>
      <c r="M85" s="7" t="n"/>
      <c r="N85" s="8" t="n"/>
      <c r="O85" s="7" t="n"/>
      <c r="P85" s="8" t="n"/>
      <c r="Q85" s="8" t="n"/>
      <c r="R85" s="5" t="n"/>
      <c r="S85" s="5" t="n"/>
      <c r="T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6" t="n"/>
      <c r="J86" s="6" t="n"/>
      <c r="K86" s="7" t="n"/>
      <c r="L86" s="7" t="n"/>
      <c r="M86" s="7" t="n"/>
      <c r="N86" s="8" t="n"/>
      <c r="O86" s="7" t="n"/>
      <c r="P86" s="8" t="n"/>
      <c r="Q86" s="8" t="n"/>
      <c r="R86" s="5" t="n"/>
      <c r="S86" s="5" t="n"/>
      <c r="T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6" t="n"/>
      <c r="J87" s="6" t="n"/>
      <c r="K87" s="7" t="n"/>
      <c r="L87" s="7" t="n"/>
      <c r="M87" s="7" t="n"/>
      <c r="N87" s="8" t="n"/>
      <c r="O87" s="7" t="n"/>
      <c r="P87" s="8" t="n"/>
      <c r="Q87" s="8" t="n"/>
      <c r="R87" s="5" t="n"/>
      <c r="S87" s="5" t="n"/>
      <c r="T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6" t="n"/>
      <c r="J88" s="6" t="n"/>
      <c r="K88" s="7" t="n"/>
      <c r="L88" s="7" t="n"/>
      <c r="M88" s="7" t="n"/>
      <c r="N88" s="8" t="n"/>
      <c r="O88" s="7" t="n"/>
      <c r="P88" s="8" t="n"/>
      <c r="Q88" s="8" t="n"/>
      <c r="R88" s="5" t="n"/>
      <c r="S88" s="5" t="n"/>
      <c r="T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6" t="n"/>
      <c r="J89" s="6" t="n"/>
      <c r="K89" s="7" t="n"/>
      <c r="L89" s="7" t="n"/>
      <c r="M89" s="7" t="n"/>
      <c r="N89" s="8" t="n"/>
      <c r="O89" s="7" t="n"/>
      <c r="P89" s="8" t="n"/>
      <c r="Q89" s="8" t="n"/>
      <c r="R89" s="5" t="n"/>
      <c r="S89" s="5" t="n"/>
      <c r="T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6" t="n"/>
      <c r="J90" s="6" t="n"/>
      <c r="K90" s="7" t="n"/>
      <c r="L90" s="7" t="n"/>
      <c r="M90" s="7" t="n"/>
      <c r="N90" s="8" t="n"/>
      <c r="O90" s="7" t="n"/>
      <c r="P90" s="8" t="n"/>
      <c r="Q90" s="8" t="n"/>
      <c r="R90" s="5" t="n"/>
      <c r="S90" s="5" t="n"/>
      <c r="T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6" t="n"/>
      <c r="J91" s="6" t="n"/>
      <c r="K91" s="7" t="n"/>
      <c r="L91" s="7" t="n"/>
      <c r="M91" s="7" t="n"/>
      <c r="N91" s="8" t="n"/>
      <c r="O91" s="7" t="n"/>
      <c r="P91" s="8" t="n"/>
      <c r="Q91" s="8" t="n"/>
      <c r="R91" s="5" t="n"/>
      <c r="S91" s="5" t="n"/>
      <c r="T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6" t="n"/>
      <c r="J92" s="6" t="n"/>
      <c r="K92" s="7" t="n"/>
      <c r="L92" s="7" t="n"/>
      <c r="M92" s="7" t="n"/>
      <c r="N92" s="8" t="n"/>
      <c r="O92" s="7" t="n"/>
      <c r="P92" s="8" t="n"/>
      <c r="Q92" s="8" t="n"/>
      <c r="R92" s="5" t="n"/>
      <c r="S92" s="5" t="n"/>
      <c r="T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6" t="n"/>
      <c r="J93" s="6" t="n"/>
      <c r="K93" s="7" t="n"/>
      <c r="L93" s="7" t="n"/>
      <c r="M93" s="7" t="n"/>
      <c r="N93" s="8" t="n"/>
      <c r="O93" s="7" t="n"/>
      <c r="P93" s="8" t="n"/>
      <c r="Q93" s="8" t="n"/>
      <c r="R93" s="5" t="n"/>
      <c r="S93" s="5" t="n"/>
      <c r="T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6" t="n"/>
      <c r="J94" s="6" t="n"/>
      <c r="K94" s="7" t="n"/>
      <c r="L94" s="7" t="n"/>
      <c r="M94" s="7" t="n"/>
      <c r="N94" s="8" t="n"/>
      <c r="O94" s="7" t="n"/>
      <c r="P94" s="8" t="n"/>
      <c r="Q94" s="8" t="n"/>
      <c r="R94" s="5" t="n"/>
      <c r="S94" s="5" t="n"/>
      <c r="T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6" t="n"/>
      <c r="J95" s="6" t="n"/>
      <c r="K95" s="7" t="n"/>
      <c r="L95" s="7" t="n"/>
      <c r="M95" s="7" t="n"/>
      <c r="N95" s="8" t="n"/>
      <c r="O95" s="7" t="n"/>
      <c r="P95" s="8" t="n"/>
      <c r="Q95" s="8" t="n"/>
      <c r="R95" s="5" t="n"/>
      <c r="S95" s="5" t="n"/>
      <c r="T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6" t="n"/>
      <c r="J96" s="6" t="n"/>
      <c r="K96" s="7" t="n"/>
      <c r="L96" s="7" t="n"/>
      <c r="M96" s="7" t="n"/>
      <c r="N96" s="8" t="n"/>
      <c r="O96" s="7" t="n"/>
      <c r="P96" s="8" t="n"/>
      <c r="Q96" s="8" t="n"/>
      <c r="R96" s="5" t="n"/>
      <c r="S96" s="5" t="n"/>
      <c r="T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6" t="n"/>
      <c r="J97" s="6" t="n"/>
      <c r="K97" s="7" t="n"/>
      <c r="L97" s="7" t="n"/>
      <c r="M97" s="7" t="n"/>
      <c r="N97" s="8" t="n"/>
      <c r="O97" s="7" t="n"/>
      <c r="P97" s="8" t="n"/>
      <c r="Q97" s="8" t="n"/>
      <c r="R97" s="5" t="n"/>
      <c r="S97" s="5" t="n"/>
      <c r="T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6" t="n"/>
      <c r="J98" s="6" t="n"/>
      <c r="K98" s="7" t="n"/>
      <c r="L98" s="7" t="n"/>
      <c r="M98" s="7" t="n"/>
      <c r="N98" s="8" t="n"/>
      <c r="O98" s="7" t="n"/>
      <c r="P98" s="8" t="n"/>
      <c r="Q98" s="8" t="n"/>
      <c r="R98" s="5" t="n"/>
      <c r="S98" s="5" t="n"/>
      <c r="T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6" t="n"/>
      <c r="J99" s="6" t="n"/>
      <c r="K99" s="7" t="n"/>
      <c r="L99" s="7" t="n"/>
      <c r="M99" s="7" t="n"/>
      <c r="N99" s="8" t="n"/>
      <c r="O99" s="7" t="n"/>
      <c r="P99" s="8" t="n"/>
      <c r="Q99" s="8" t="n"/>
      <c r="R99" s="5" t="n"/>
      <c r="S99" s="5" t="n"/>
      <c r="T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6" t="n"/>
      <c r="J100" s="6" t="n"/>
      <c r="K100" s="7" t="n"/>
      <c r="L100" s="7" t="n"/>
      <c r="M100" s="7" t="n"/>
      <c r="N100" s="8" t="n"/>
      <c r="O100" s="7" t="n"/>
      <c r="P100" s="8" t="n"/>
      <c r="Q100" s="8" t="n"/>
      <c r="R100" s="5" t="n"/>
      <c r="S100" s="5" t="n"/>
      <c r="T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6" t="n"/>
      <c r="J101" s="6" t="n"/>
      <c r="K101" s="7" t="n"/>
      <c r="L101" s="7" t="n"/>
      <c r="M101" s="7" t="n"/>
      <c r="N101" s="8" t="n"/>
      <c r="O101" s="7" t="n"/>
      <c r="P101" s="8" t="n"/>
      <c r="Q101" s="8" t="n"/>
      <c r="R101" s="5" t="n"/>
      <c r="S101" s="5" t="n"/>
      <c r="T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6" t="n"/>
      <c r="J102" s="6" t="n"/>
      <c r="K102" s="7" t="n"/>
      <c r="L102" s="7" t="n"/>
      <c r="M102" s="7" t="n"/>
      <c r="N102" s="8" t="n"/>
      <c r="O102" s="7" t="n"/>
      <c r="P102" s="8" t="n"/>
      <c r="Q102" s="8" t="n"/>
      <c r="R102" s="5" t="n"/>
      <c r="S102" s="5" t="n"/>
      <c r="T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6" t="n"/>
      <c r="J103" s="6" t="n"/>
      <c r="K103" s="7" t="n"/>
      <c r="L103" s="7" t="n"/>
      <c r="M103" s="7" t="n"/>
      <c r="N103" s="8" t="n"/>
      <c r="O103" s="7" t="n"/>
      <c r="P103" s="8" t="n"/>
      <c r="Q103" s="8" t="n"/>
      <c r="R103" s="5" t="n"/>
      <c r="S103" s="5" t="n"/>
      <c r="T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6" t="n"/>
      <c r="J104" s="6" t="n"/>
      <c r="K104" s="7" t="n"/>
      <c r="L104" s="7" t="n"/>
      <c r="M104" s="7" t="n"/>
      <c r="N104" s="8" t="n"/>
      <c r="O104" s="7" t="n"/>
      <c r="P104" s="8" t="n"/>
      <c r="Q104" s="8" t="n"/>
      <c r="R104" s="5" t="n"/>
      <c r="S104" s="5" t="n"/>
      <c r="T104" s="5" t="n"/>
    </row>
  </sheetData>
  <autoFilter ref="A4:T104"/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D7FF3F"/>
    <outlinePr summaryBelow="1" summaryRight="1"/>
    <pageSetUpPr fitToPage="1"/>
  </sheetPr>
  <dimension ref="A1:M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4" customWidth="1" min="12" max="12"/>
    <col width="34" customWidth="1" min="13" max="13"/>
  </cols>
  <sheetData>
    <row r="1" ht="32" customHeight="1">
      <c r="A1" s="1" t="inlineStr">
        <is>
          <t>SCREEN / OUTPUT</t>
        </is>
      </c>
    </row>
    <row r="2" ht="28" customHeight="1">
      <c r="A2" s="2" t="inlineStr">
        <is>
          <t>Formula-driven ranking; blank or unverified records remain incomplete</t>
        </is>
      </c>
    </row>
    <row r="4">
      <c r="A4" s="3" t="inlineStr">
        <is>
          <t>Ticker</t>
        </is>
      </c>
      <c r="B4" s="3" t="inlineStr">
        <is>
          <t>Issuer</t>
        </is>
      </c>
      <c r="C4" s="3" t="inlineStr">
        <is>
          <t>Eligibility</t>
        </is>
      </c>
      <c r="D4" s="3" t="inlineStr">
        <is>
          <t>Coverage</t>
        </is>
      </c>
      <c r="E4" s="3" t="inlineStr">
        <is>
          <t>Quality</t>
        </is>
      </c>
      <c r="F4" s="3" t="inlineStr">
        <is>
          <t>Growth</t>
        </is>
      </c>
      <c r="G4" s="3" t="inlineStr">
        <is>
          <t>Balance</t>
        </is>
      </c>
      <c r="H4" s="3" t="inlineStr">
        <is>
          <t>Valuation</t>
        </is>
      </c>
      <c r="I4" s="3" t="inlineStr">
        <is>
          <t>Risk</t>
        </is>
      </c>
      <c r="J4" s="3" t="inlineStr">
        <is>
          <t>Final Score</t>
        </is>
      </c>
      <c r="K4" s="3" t="inlineStr">
        <is>
          <t>Confidence</t>
        </is>
      </c>
      <c r="L4" s="3" t="inlineStr">
        <is>
          <t>Band</t>
        </is>
      </c>
      <c r="M4" s="3" t="inlineStr">
        <is>
          <t>Reason</t>
        </is>
      </c>
    </row>
    <row r="5">
      <c r="A5" s="4">
        <f>IF(Screen_Input!H5="","",Screen_Input!A5)</f>
        <v/>
      </c>
      <c r="B5" s="4">
        <f>IF(Screen_Input!H5="","",Screen_Input!B5)</f>
        <v/>
      </c>
      <c r="C5" s="9">
        <f>IF(Screen_Input!H5="","",IF(OR(Screen_Input!S5&lt;&gt;"verified",Screen_Input!H5=""),"INCOMPLETE","ELIGIBLE"))</f>
        <v/>
      </c>
      <c r="D5" s="4">
        <f>IF($A5="","",COUNT(Screen_Input!I5:Q5)/9)</f>
        <v/>
      </c>
      <c r="E5" s="4">
        <f>IF($A5="","",IF(Screen_Input!K5="","",MIN(100,MAX(0,Screen_Input!K5*100))))</f>
        <v/>
      </c>
      <c r="F5" s="4">
        <f>IF($A5="","",IF(Screen_Input!O5="","",MIN(100,MAX(0,Screen_Input!O5*100))))</f>
        <v/>
      </c>
      <c r="G5" s="4">
        <f>IF($A5="","",IF(Screen_Input!N5="","",MIN(100,MAX(0,100-Screen_Input!N5*20))))</f>
        <v/>
      </c>
      <c r="H5" s="4">
        <f>IF($A5="","",IF(Screen_Input!P5="","",MIN(100,MAX(0,100-Screen_Input!P5*3))))</f>
        <v/>
      </c>
      <c r="I5" s="4">
        <f>IF($A5="","",IF(Screen_Input!S5&lt;&gt;"verified","",50))</f>
        <v/>
      </c>
      <c r="J5" s="10">
        <f>IF(OR($A5="",$D5&lt;0.6,$C5&lt;&gt;"ELIGIBLE"),"",ROUND(($E5*0.25+$F5*0.15+$G5*0.10+$H5*0.20+$I5*0.10+50*0.20),1))</f>
        <v/>
      </c>
      <c r="K5" s="11">
        <f>IF($J5="","",ROUND($D5*100,0))</f>
        <v/>
      </c>
      <c r="L5" s="4">
        <f>IF($J5="","",IF($J5&gt;=85,"STRONG",IF($J5&gt;=70,"POSITIVE",IF($J5&gt;=55,"WATCH",IF($J5&gt;=40,"WEAK","REJECT")))))</f>
        <v/>
      </c>
      <c r="M5" s="4">
        <f>IF($A5="","",IF($C5&lt;&gt;"ELIGIBLE","Needs verified source / data coverage",IF($D5&lt;0.8,"Provisional coverage","Screened")))</f>
        <v/>
      </c>
    </row>
    <row r="6">
      <c r="A6" s="4">
        <f>IF(Screen_Input!H6="","",Screen_Input!A6)</f>
        <v/>
      </c>
      <c r="B6" s="4">
        <f>IF(Screen_Input!H6="","",Screen_Input!B6)</f>
        <v/>
      </c>
      <c r="C6" s="9">
        <f>IF(Screen_Input!H6="","",IF(OR(Screen_Input!S6&lt;&gt;"verified",Screen_Input!H6=""),"INCOMPLETE","ELIGIBLE"))</f>
        <v/>
      </c>
      <c r="D6" s="4">
        <f>IF($A6="","",COUNT(Screen_Input!I6:Q6)/9)</f>
        <v/>
      </c>
      <c r="E6" s="4">
        <f>IF($A6="","",IF(Screen_Input!K6="","",MIN(100,MAX(0,Screen_Input!K6*100))))</f>
        <v/>
      </c>
      <c r="F6" s="4">
        <f>IF($A6="","",IF(Screen_Input!O6="","",MIN(100,MAX(0,Screen_Input!O6*100))))</f>
        <v/>
      </c>
      <c r="G6" s="4">
        <f>IF($A6="","",IF(Screen_Input!N6="","",MIN(100,MAX(0,100-Screen_Input!N6*20))))</f>
        <v/>
      </c>
      <c r="H6" s="4">
        <f>IF($A6="","",IF(Screen_Input!P6="","",MIN(100,MAX(0,100-Screen_Input!P6*3))))</f>
        <v/>
      </c>
      <c r="I6" s="4">
        <f>IF($A6="","",IF(Screen_Input!S6&lt;&gt;"verified","",50))</f>
        <v/>
      </c>
      <c r="J6" s="10">
        <f>IF(OR($A6="",$D6&lt;0.6,$C6&lt;&gt;"ELIGIBLE"),"",ROUND(($E6*0.25+$F6*0.15+$G6*0.10+$H6*0.20+$I6*0.10+50*0.20),1))</f>
        <v/>
      </c>
      <c r="K6" s="11">
        <f>IF($J6="","",ROUND($D6*100,0))</f>
        <v/>
      </c>
      <c r="L6" s="4">
        <f>IF($J6="","",IF($J6&gt;=85,"STRONG",IF($J6&gt;=70,"POSITIVE",IF($J6&gt;=55,"WATCH",IF($J6&gt;=40,"WEAK","REJECT")))))</f>
        <v/>
      </c>
      <c r="M6" s="4">
        <f>IF($A6="","",IF($C6&lt;&gt;"ELIGIBLE","Needs verified source / data coverage",IF($D6&lt;0.8,"Provisional coverage","Screened")))</f>
        <v/>
      </c>
    </row>
    <row r="7">
      <c r="A7" s="4">
        <f>IF(Screen_Input!H7="","",Screen_Input!A7)</f>
        <v/>
      </c>
      <c r="B7" s="4">
        <f>IF(Screen_Input!H7="","",Screen_Input!B7)</f>
        <v/>
      </c>
      <c r="C7" s="9">
        <f>IF(Screen_Input!H7="","",IF(OR(Screen_Input!S7&lt;&gt;"verified",Screen_Input!H7=""),"INCOMPLETE","ELIGIBLE"))</f>
        <v/>
      </c>
      <c r="D7" s="4">
        <f>IF($A7="","",COUNT(Screen_Input!I7:Q7)/9)</f>
        <v/>
      </c>
      <c r="E7" s="4">
        <f>IF($A7="","",IF(Screen_Input!K7="","",MIN(100,MAX(0,Screen_Input!K7*100))))</f>
        <v/>
      </c>
      <c r="F7" s="4">
        <f>IF($A7="","",IF(Screen_Input!O7="","",MIN(100,MAX(0,Screen_Input!O7*100))))</f>
        <v/>
      </c>
      <c r="G7" s="4">
        <f>IF($A7="","",IF(Screen_Input!N7="","",MIN(100,MAX(0,100-Screen_Input!N7*20))))</f>
        <v/>
      </c>
      <c r="H7" s="4">
        <f>IF($A7="","",IF(Screen_Input!P7="","",MIN(100,MAX(0,100-Screen_Input!P7*3))))</f>
        <v/>
      </c>
      <c r="I7" s="4">
        <f>IF($A7="","",IF(Screen_Input!S7&lt;&gt;"verified","",50))</f>
        <v/>
      </c>
      <c r="J7" s="10">
        <f>IF(OR($A7="",$D7&lt;0.6,$C7&lt;&gt;"ELIGIBLE"),"",ROUND(($E7*0.25+$F7*0.15+$G7*0.10+$H7*0.20+$I7*0.10+50*0.20),1))</f>
        <v/>
      </c>
      <c r="K7" s="11">
        <f>IF($J7="","",ROUND($D7*100,0))</f>
        <v/>
      </c>
      <c r="L7" s="4">
        <f>IF($J7="","",IF($J7&gt;=85,"STRONG",IF($J7&gt;=70,"POSITIVE",IF($J7&gt;=55,"WATCH",IF($J7&gt;=40,"WEAK","REJECT")))))</f>
        <v/>
      </c>
      <c r="M7" s="4">
        <f>IF($A7="","",IF($C7&lt;&gt;"ELIGIBLE","Needs verified source / data coverage",IF($D7&lt;0.8,"Provisional coverage","Screened")))</f>
        <v/>
      </c>
    </row>
    <row r="8">
      <c r="A8" s="4">
        <f>IF(Screen_Input!H8="","",Screen_Input!A8)</f>
        <v/>
      </c>
      <c r="B8" s="4">
        <f>IF(Screen_Input!H8="","",Screen_Input!B8)</f>
        <v/>
      </c>
      <c r="C8" s="9">
        <f>IF(Screen_Input!H8="","",IF(OR(Screen_Input!S8&lt;&gt;"verified",Screen_Input!H8=""),"INCOMPLETE","ELIGIBLE"))</f>
        <v/>
      </c>
      <c r="D8" s="4">
        <f>IF($A8="","",COUNT(Screen_Input!I8:Q8)/9)</f>
        <v/>
      </c>
      <c r="E8" s="4">
        <f>IF($A8="","",IF(Screen_Input!K8="","",MIN(100,MAX(0,Screen_Input!K8*100))))</f>
        <v/>
      </c>
      <c r="F8" s="4">
        <f>IF($A8="","",IF(Screen_Input!O8="","",MIN(100,MAX(0,Screen_Input!O8*100))))</f>
        <v/>
      </c>
      <c r="G8" s="4">
        <f>IF($A8="","",IF(Screen_Input!N8="","",MIN(100,MAX(0,100-Screen_Input!N8*20))))</f>
        <v/>
      </c>
      <c r="H8" s="4">
        <f>IF($A8="","",IF(Screen_Input!P8="","",MIN(100,MAX(0,100-Screen_Input!P8*3))))</f>
        <v/>
      </c>
      <c r="I8" s="4">
        <f>IF($A8="","",IF(Screen_Input!S8&lt;&gt;"verified","",50))</f>
        <v/>
      </c>
      <c r="J8" s="10">
        <f>IF(OR($A8="",$D8&lt;0.6,$C8&lt;&gt;"ELIGIBLE"),"",ROUND(($E8*0.25+$F8*0.15+$G8*0.10+$H8*0.20+$I8*0.10+50*0.20),1))</f>
        <v/>
      </c>
      <c r="K8" s="11">
        <f>IF($J8="","",ROUND($D8*100,0))</f>
        <v/>
      </c>
      <c r="L8" s="4">
        <f>IF($J8="","",IF($J8&gt;=85,"STRONG",IF($J8&gt;=70,"POSITIVE",IF($J8&gt;=55,"WATCH",IF($J8&gt;=40,"WEAK","REJECT")))))</f>
        <v/>
      </c>
      <c r="M8" s="4">
        <f>IF($A8="","",IF($C8&lt;&gt;"ELIGIBLE","Needs verified source / data coverage",IF($D8&lt;0.8,"Provisional coverage","Screened")))</f>
        <v/>
      </c>
    </row>
    <row r="9">
      <c r="A9" s="4">
        <f>IF(Screen_Input!H9="","",Screen_Input!A9)</f>
        <v/>
      </c>
      <c r="B9" s="4">
        <f>IF(Screen_Input!H9="","",Screen_Input!B9)</f>
        <v/>
      </c>
      <c r="C9" s="9">
        <f>IF(Screen_Input!H9="","",IF(OR(Screen_Input!S9&lt;&gt;"verified",Screen_Input!H9=""),"INCOMPLETE","ELIGIBLE"))</f>
        <v/>
      </c>
      <c r="D9" s="4">
        <f>IF($A9="","",COUNT(Screen_Input!I9:Q9)/9)</f>
        <v/>
      </c>
      <c r="E9" s="4">
        <f>IF($A9="","",IF(Screen_Input!K9="","",MIN(100,MAX(0,Screen_Input!K9*100))))</f>
        <v/>
      </c>
      <c r="F9" s="4">
        <f>IF($A9="","",IF(Screen_Input!O9="","",MIN(100,MAX(0,Screen_Input!O9*100))))</f>
        <v/>
      </c>
      <c r="G9" s="4">
        <f>IF($A9="","",IF(Screen_Input!N9="","",MIN(100,MAX(0,100-Screen_Input!N9*20))))</f>
        <v/>
      </c>
      <c r="H9" s="4">
        <f>IF($A9="","",IF(Screen_Input!P9="","",MIN(100,MAX(0,100-Screen_Input!P9*3))))</f>
        <v/>
      </c>
      <c r="I9" s="4">
        <f>IF($A9="","",IF(Screen_Input!S9&lt;&gt;"verified","",50))</f>
        <v/>
      </c>
      <c r="J9" s="10">
        <f>IF(OR($A9="",$D9&lt;0.6,$C9&lt;&gt;"ELIGIBLE"),"",ROUND(($E9*0.25+$F9*0.15+$G9*0.10+$H9*0.20+$I9*0.10+50*0.20),1))</f>
        <v/>
      </c>
      <c r="K9" s="11">
        <f>IF($J9="","",ROUND($D9*100,0))</f>
        <v/>
      </c>
      <c r="L9" s="4">
        <f>IF($J9="","",IF($J9&gt;=85,"STRONG",IF($J9&gt;=70,"POSITIVE",IF($J9&gt;=55,"WATCH",IF($J9&gt;=40,"WEAK","REJECT")))))</f>
        <v/>
      </c>
      <c r="M9" s="4">
        <f>IF($A9="","",IF($C9&lt;&gt;"ELIGIBLE","Needs verified source / data coverage",IF($D9&lt;0.8,"Provisional coverage","Screened")))</f>
        <v/>
      </c>
    </row>
    <row r="10">
      <c r="A10" s="4">
        <f>IF(Screen_Input!H10="","",Screen_Input!A10)</f>
        <v/>
      </c>
      <c r="B10" s="4">
        <f>IF(Screen_Input!H10="","",Screen_Input!B10)</f>
        <v/>
      </c>
      <c r="C10" s="9">
        <f>IF(Screen_Input!H10="","",IF(OR(Screen_Input!S10&lt;&gt;"verified",Screen_Input!H10=""),"INCOMPLETE","ELIGIBLE"))</f>
        <v/>
      </c>
      <c r="D10" s="4">
        <f>IF($A10="","",COUNT(Screen_Input!I10:Q10)/9)</f>
        <v/>
      </c>
      <c r="E10" s="4">
        <f>IF($A10="","",IF(Screen_Input!K10="","",MIN(100,MAX(0,Screen_Input!K10*100))))</f>
        <v/>
      </c>
      <c r="F10" s="4">
        <f>IF($A10="","",IF(Screen_Input!O10="","",MIN(100,MAX(0,Screen_Input!O10*100))))</f>
        <v/>
      </c>
      <c r="G10" s="4">
        <f>IF($A10="","",IF(Screen_Input!N10="","",MIN(100,MAX(0,100-Screen_Input!N10*20))))</f>
        <v/>
      </c>
      <c r="H10" s="4">
        <f>IF($A10="","",IF(Screen_Input!P10="","",MIN(100,MAX(0,100-Screen_Input!P10*3))))</f>
        <v/>
      </c>
      <c r="I10" s="4">
        <f>IF($A10="","",IF(Screen_Input!S10&lt;&gt;"verified","",50))</f>
        <v/>
      </c>
      <c r="J10" s="10">
        <f>IF(OR($A10="",$D10&lt;0.6,$C10&lt;&gt;"ELIGIBLE"),"",ROUND(($E10*0.25+$F10*0.15+$G10*0.10+$H10*0.20+$I10*0.10+50*0.20),1))</f>
        <v/>
      </c>
      <c r="K10" s="11">
        <f>IF($J10="","",ROUND($D10*100,0))</f>
        <v/>
      </c>
      <c r="L10" s="4">
        <f>IF($J10="","",IF($J10&gt;=85,"STRONG",IF($J10&gt;=70,"POSITIVE",IF($J10&gt;=55,"WATCH",IF($J10&gt;=40,"WEAK","REJECT")))))</f>
        <v/>
      </c>
      <c r="M10" s="4">
        <f>IF($A10="","",IF($C10&lt;&gt;"ELIGIBLE","Needs verified source / data coverage",IF($D10&lt;0.8,"Provisional coverage","Screened")))</f>
        <v/>
      </c>
    </row>
    <row r="11">
      <c r="A11" s="4">
        <f>IF(Screen_Input!H11="","",Screen_Input!A11)</f>
        <v/>
      </c>
      <c r="B11" s="4">
        <f>IF(Screen_Input!H11="","",Screen_Input!B11)</f>
        <v/>
      </c>
      <c r="C11" s="9">
        <f>IF(Screen_Input!H11="","",IF(OR(Screen_Input!S11&lt;&gt;"verified",Screen_Input!H11=""),"INCOMPLETE","ELIGIBLE"))</f>
        <v/>
      </c>
      <c r="D11" s="4">
        <f>IF($A11="","",COUNT(Screen_Input!I11:Q11)/9)</f>
        <v/>
      </c>
      <c r="E11" s="4">
        <f>IF($A11="","",IF(Screen_Input!K11="","",MIN(100,MAX(0,Screen_Input!K11*100))))</f>
        <v/>
      </c>
      <c r="F11" s="4">
        <f>IF($A11="","",IF(Screen_Input!O11="","",MIN(100,MAX(0,Screen_Input!O11*100))))</f>
        <v/>
      </c>
      <c r="G11" s="4">
        <f>IF($A11="","",IF(Screen_Input!N11="","",MIN(100,MAX(0,100-Screen_Input!N11*20))))</f>
        <v/>
      </c>
      <c r="H11" s="4">
        <f>IF($A11="","",IF(Screen_Input!P11="","",MIN(100,MAX(0,100-Screen_Input!P11*3))))</f>
        <v/>
      </c>
      <c r="I11" s="4">
        <f>IF($A11="","",IF(Screen_Input!S11&lt;&gt;"verified","",50))</f>
        <v/>
      </c>
      <c r="J11" s="10">
        <f>IF(OR($A11="",$D11&lt;0.6,$C11&lt;&gt;"ELIGIBLE"),"",ROUND(($E11*0.25+$F11*0.15+$G11*0.10+$H11*0.20+$I11*0.10+50*0.20),1))</f>
        <v/>
      </c>
      <c r="K11" s="11">
        <f>IF($J11="","",ROUND($D11*100,0))</f>
        <v/>
      </c>
      <c r="L11" s="4">
        <f>IF($J11="","",IF($J11&gt;=85,"STRONG",IF($J11&gt;=70,"POSITIVE",IF($J11&gt;=55,"WATCH",IF($J11&gt;=40,"WEAK","REJECT")))))</f>
        <v/>
      </c>
      <c r="M11" s="4">
        <f>IF($A11="","",IF($C11&lt;&gt;"ELIGIBLE","Needs verified source / data coverage",IF($D11&lt;0.8,"Provisional coverage","Screened")))</f>
        <v/>
      </c>
    </row>
    <row r="12">
      <c r="A12" s="4">
        <f>IF(Screen_Input!H12="","",Screen_Input!A12)</f>
        <v/>
      </c>
      <c r="B12" s="4">
        <f>IF(Screen_Input!H12="","",Screen_Input!B12)</f>
        <v/>
      </c>
      <c r="C12" s="9">
        <f>IF(Screen_Input!H12="","",IF(OR(Screen_Input!S12&lt;&gt;"verified",Screen_Input!H12=""),"INCOMPLETE","ELIGIBLE"))</f>
        <v/>
      </c>
      <c r="D12" s="4">
        <f>IF($A12="","",COUNT(Screen_Input!I12:Q12)/9)</f>
        <v/>
      </c>
      <c r="E12" s="4">
        <f>IF($A12="","",IF(Screen_Input!K12="","",MIN(100,MAX(0,Screen_Input!K12*100))))</f>
        <v/>
      </c>
      <c r="F12" s="4">
        <f>IF($A12="","",IF(Screen_Input!O12="","",MIN(100,MAX(0,Screen_Input!O12*100))))</f>
        <v/>
      </c>
      <c r="G12" s="4">
        <f>IF($A12="","",IF(Screen_Input!N12="","",MIN(100,MAX(0,100-Screen_Input!N12*20))))</f>
        <v/>
      </c>
      <c r="H12" s="4">
        <f>IF($A12="","",IF(Screen_Input!P12="","",MIN(100,MAX(0,100-Screen_Input!P12*3))))</f>
        <v/>
      </c>
      <c r="I12" s="4">
        <f>IF($A12="","",IF(Screen_Input!S12&lt;&gt;"verified","",50))</f>
        <v/>
      </c>
      <c r="J12" s="10">
        <f>IF(OR($A12="",$D12&lt;0.6,$C12&lt;&gt;"ELIGIBLE"),"",ROUND(($E12*0.25+$F12*0.15+$G12*0.10+$H12*0.20+$I12*0.10+50*0.20),1))</f>
        <v/>
      </c>
      <c r="K12" s="11">
        <f>IF($J12="","",ROUND($D12*100,0))</f>
        <v/>
      </c>
      <c r="L12" s="4">
        <f>IF($J12="","",IF($J12&gt;=85,"STRONG",IF($J12&gt;=70,"POSITIVE",IF($J12&gt;=55,"WATCH",IF($J12&gt;=40,"WEAK","REJECT")))))</f>
        <v/>
      </c>
      <c r="M12" s="4">
        <f>IF($A12="","",IF($C12&lt;&gt;"ELIGIBLE","Needs verified source / data coverage",IF($D12&lt;0.8,"Provisional coverage","Screened")))</f>
        <v/>
      </c>
    </row>
    <row r="13">
      <c r="A13" s="4">
        <f>IF(Screen_Input!H13="","",Screen_Input!A13)</f>
        <v/>
      </c>
      <c r="B13" s="4">
        <f>IF(Screen_Input!H13="","",Screen_Input!B13)</f>
        <v/>
      </c>
      <c r="C13" s="9">
        <f>IF(Screen_Input!H13="","",IF(OR(Screen_Input!S13&lt;&gt;"verified",Screen_Input!H13=""),"INCOMPLETE","ELIGIBLE"))</f>
        <v/>
      </c>
      <c r="D13" s="4">
        <f>IF($A13="","",COUNT(Screen_Input!I13:Q13)/9)</f>
        <v/>
      </c>
      <c r="E13" s="4">
        <f>IF($A13="","",IF(Screen_Input!K13="","",MIN(100,MAX(0,Screen_Input!K13*100))))</f>
        <v/>
      </c>
      <c r="F13" s="4">
        <f>IF($A13="","",IF(Screen_Input!O13="","",MIN(100,MAX(0,Screen_Input!O13*100))))</f>
        <v/>
      </c>
      <c r="G13" s="4">
        <f>IF($A13="","",IF(Screen_Input!N13="","",MIN(100,MAX(0,100-Screen_Input!N13*20))))</f>
        <v/>
      </c>
      <c r="H13" s="4">
        <f>IF($A13="","",IF(Screen_Input!P13="","",MIN(100,MAX(0,100-Screen_Input!P13*3))))</f>
        <v/>
      </c>
      <c r="I13" s="4">
        <f>IF($A13="","",IF(Screen_Input!S13&lt;&gt;"verified","",50))</f>
        <v/>
      </c>
      <c r="J13" s="10">
        <f>IF(OR($A13="",$D13&lt;0.6,$C13&lt;&gt;"ELIGIBLE"),"",ROUND(($E13*0.25+$F13*0.15+$G13*0.10+$H13*0.20+$I13*0.10+50*0.20),1))</f>
        <v/>
      </c>
      <c r="K13" s="11">
        <f>IF($J13="","",ROUND($D13*100,0))</f>
        <v/>
      </c>
      <c r="L13" s="4">
        <f>IF($J13="","",IF($J13&gt;=85,"STRONG",IF($J13&gt;=70,"POSITIVE",IF($J13&gt;=55,"WATCH",IF($J13&gt;=40,"WEAK","REJECT")))))</f>
        <v/>
      </c>
      <c r="M13" s="4">
        <f>IF($A13="","",IF($C13&lt;&gt;"ELIGIBLE","Needs verified source / data coverage",IF($D13&lt;0.8,"Provisional coverage","Screened")))</f>
        <v/>
      </c>
    </row>
    <row r="14">
      <c r="A14" s="4">
        <f>IF(Screen_Input!H14="","",Screen_Input!A14)</f>
        <v/>
      </c>
      <c r="B14" s="4">
        <f>IF(Screen_Input!H14="","",Screen_Input!B14)</f>
        <v/>
      </c>
      <c r="C14" s="9">
        <f>IF(Screen_Input!H14="","",IF(OR(Screen_Input!S14&lt;&gt;"verified",Screen_Input!H14=""),"INCOMPLETE","ELIGIBLE"))</f>
        <v/>
      </c>
      <c r="D14" s="4">
        <f>IF($A14="","",COUNT(Screen_Input!I14:Q14)/9)</f>
        <v/>
      </c>
      <c r="E14" s="4">
        <f>IF($A14="","",IF(Screen_Input!K14="","",MIN(100,MAX(0,Screen_Input!K14*100))))</f>
        <v/>
      </c>
      <c r="F14" s="4">
        <f>IF($A14="","",IF(Screen_Input!O14="","",MIN(100,MAX(0,Screen_Input!O14*100))))</f>
        <v/>
      </c>
      <c r="G14" s="4">
        <f>IF($A14="","",IF(Screen_Input!N14="","",MIN(100,MAX(0,100-Screen_Input!N14*20))))</f>
        <v/>
      </c>
      <c r="H14" s="4">
        <f>IF($A14="","",IF(Screen_Input!P14="","",MIN(100,MAX(0,100-Screen_Input!P14*3))))</f>
        <v/>
      </c>
      <c r="I14" s="4">
        <f>IF($A14="","",IF(Screen_Input!S14&lt;&gt;"verified","",50))</f>
        <v/>
      </c>
      <c r="J14" s="10">
        <f>IF(OR($A14="",$D14&lt;0.6,$C14&lt;&gt;"ELIGIBLE"),"",ROUND(($E14*0.25+$F14*0.15+$G14*0.10+$H14*0.20+$I14*0.10+50*0.20),1))</f>
        <v/>
      </c>
      <c r="K14" s="11">
        <f>IF($J14="","",ROUND($D14*100,0))</f>
        <v/>
      </c>
      <c r="L14" s="4">
        <f>IF($J14="","",IF($J14&gt;=85,"STRONG",IF($J14&gt;=70,"POSITIVE",IF($J14&gt;=55,"WATCH",IF($J14&gt;=40,"WEAK","REJECT")))))</f>
        <v/>
      </c>
      <c r="M14" s="4">
        <f>IF($A14="","",IF($C14&lt;&gt;"ELIGIBLE","Needs verified source / data coverage",IF($D14&lt;0.8,"Provisional coverage","Screened")))</f>
        <v/>
      </c>
    </row>
    <row r="15">
      <c r="A15" s="4">
        <f>IF(Screen_Input!H15="","",Screen_Input!A15)</f>
        <v/>
      </c>
      <c r="B15" s="4">
        <f>IF(Screen_Input!H15="","",Screen_Input!B15)</f>
        <v/>
      </c>
      <c r="C15" s="9">
        <f>IF(Screen_Input!H15="","",IF(OR(Screen_Input!S15&lt;&gt;"verified",Screen_Input!H15=""),"INCOMPLETE","ELIGIBLE"))</f>
        <v/>
      </c>
      <c r="D15" s="4">
        <f>IF($A15="","",COUNT(Screen_Input!I15:Q15)/9)</f>
        <v/>
      </c>
      <c r="E15" s="4">
        <f>IF($A15="","",IF(Screen_Input!K15="","",MIN(100,MAX(0,Screen_Input!K15*100))))</f>
        <v/>
      </c>
      <c r="F15" s="4">
        <f>IF($A15="","",IF(Screen_Input!O15="","",MIN(100,MAX(0,Screen_Input!O15*100))))</f>
        <v/>
      </c>
      <c r="G15" s="4">
        <f>IF($A15="","",IF(Screen_Input!N15="","",MIN(100,MAX(0,100-Screen_Input!N15*20))))</f>
        <v/>
      </c>
      <c r="H15" s="4">
        <f>IF($A15="","",IF(Screen_Input!P15="","",MIN(100,MAX(0,100-Screen_Input!P15*3))))</f>
        <v/>
      </c>
      <c r="I15" s="4">
        <f>IF($A15="","",IF(Screen_Input!S15&lt;&gt;"verified","",50))</f>
        <v/>
      </c>
      <c r="J15" s="10">
        <f>IF(OR($A15="",$D15&lt;0.6,$C15&lt;&gt;"ELIGIBLE"),"",ROUND(($E15*0.25+$F15*0.15+$G15*0.10+$H15*0.20+$I15*0.10+50*0.20),1))</f>
        <v/>
      </c>
      <c r="K15" s="11">
        <f>IF($J15="","",ROUND($D15*100,0))</f>
        <v/>
      </c>
      <c r="L15" s="4">
        <f>IF($J15="","",IF($J15&gt;=85,"STRONG",IF($J15&gt;=70,"POSITIVE",IF($J15&gt;=55,"WATCH",IF($J15&gt;=40,"WEAK","REJECT")))))</f>
        <v/>
      </c>
      <c r="M15" s="4">
        <f>IF($A15="","",IF($C15&lt;&gt;"ELIGIBLE","Needs verified source / data coverage",IF($D15&lt;0.8,"Provisional coverage","Screened")))</f>
        <v/>
      </c>
    </row>
    <row r="16">
      <c r="A16" s="4">
        <f>IF(Screen_Input!H16="","",Screen_Input!A16)</f>
        <v/>
      </c>
      <c r="B16" s="4">
        <f>IF(Screen_Input!H16="","",Screen_Input!B16)</f>
        <v/>
      </c>
      <c r="C16" s="9">
        <f>IF(Screen_Input!H16="","",IF(OR(Screen_Input!S16&lt;&gt;"verified",Screen_Input!H16=""),"INCOMPLETE","ELIGIBLE"))</f>
        <v/>
      </c>
      <c r="D16" s="4">
        <f>IF($A16="","",COUNT(Screen_Input!I16:Q16)/9)</f>
        <v/>
      </c>
      <c r="E16" s="4">
        <f>IF($A16="","",IF(Screen_Input!K16="","",MIN(100,MAX(0,Screen_Input!K16*100))))</f>
        <v/>
      </c>
      <c r="F16" s="4">
        <f>IF($A16="","",IF(Screen_Input!O16="","",MIN(100,MAX(0,Screen_Input!O16*100))))</f>
        <v/>
      </c>
      <c r="G16" s="4">
        <f>IF($A16="","",IF(Screen_Input!N16="","",MIN(100,MAX(0,100-Screen_Input!N16*20))))</f>
        <v/>
      </c>
      <c r="H16" s="4">
        <f>IF($A16="","",IF(Screen_Input!P16="","",MIN(100,MAX(0,100-Screen_Input!P16*3))))</f>
        <v/>
      </c>
      <c r="I16" s="4">
        <f>IF($A16="","",IF(Screen_Input!S16&lt;&gt;"verified","",50))</f>
        <v/>
      </c>
      <c r="J16" s="10">
        <f>IF(OR($A16="",$D16&lt;0.6,$C16&lt;&gt;"ELIGIBLE"),"",ROUND(($E16*0.25+$F16*0.15+$G16*0.10+$H16*0.20+$I16*0.10+50*0.20),1))</f>
        <v/>
      </c>
      <c r="K16" s="11">
        <f>IF($J16="","",ROUND($D16*100,0))</f>
        <v/>
      </c>
      <c r="L16" s="4">
        <f>IF($J16="","",IF($J16&gt;=85,"STRONG",IF($J16&gt;=70,"POSITIVE",IF($J16&gt;=55,"WATCH",IF($J16&gt;=40,"WEAK","REJECT")))))</f>
        <v/>
      </c>
      <c r="M16" s="4">
        <f>IF($A16="","",IF($C16&lt;&gt;"ELIGIBLE","Needs verified source / data coverage",IF($D16&lt;0.8,"Provisional coverage","Screened")))</f>
        <v/>
      </c>
    </row>
    <row r="17">
      <c r="A17" s="4">
        <f>IF(Screen_Input!H17="","",Screen_Input!A17)</f>
        <v/>
      </c>
      <c r="B17" s="4">
        <f>IF(Screen_Input!H17="","",Screen_Input!B17)</f>
        <v/>
      </c>
      <c r="C17" s="9">
        <f>IF(Screen_Input!H17="","",IF(OR(Screen_Input!S17&lt;&gt;"verified",Screen_Input!H17=""),"INCOMPLETE","ELIGIBLE"))</f>
        <v/>
      </c>
      <c r="D17" s="4">
        <f>IF($A17="","",COUNT(Screen_Input!I17:Q17)/9)</f>
        <v/>
      </c>
      <c r="E17" s="4">
        <f>IF($A17="","",IF(Screen_Input!K17="","",MIN(100,MAX(0,Screen_Input!K17*100))))</f>
        <v/>
      </c>
      <c r="F17" s="4">
        <f>IF($A17="","",IF(Screen_Input!O17="","",MIN(100,MAX(0,Screen_Input!O17*100))))</f>
        <v/>
      </c>
      <c r="G17" s="4">
        <f>IF($A17="","",IF(Screen_Input!N17="","",MIN(100,MAX(0,100-Screen_Input!N17*20))))</f>
        <v/>
      </c>
      <c r="H17" s="4">
        <f>IF($A17="","",IF(Screen_Input!P17="","",MIN(100,MAX(0,100-Screen_Input!P17*3))))</f>
        <v/>
      </c>
      <c r="I17" s="4">
        <f>IF($A17="","",IF(Screen_Input!S17&lt;&gt;"verified","",50))</f>
        <v/>
      </c>
      <c r="J17" s="10">
        <f>IF(OR($A17="",$D17&lt;0.6,$C17&lt;&gt;"ELIGIBLE"),"",ROUND(($E17*0.25+$F17*0.15+$G17*0.10+$H17*0.20+$I17*0.10+50*0.20),1))</f>
        <v/>
      </c>
      <c r="K17" s="11">
        <f>IF($J17="","",ROUND($D17*100,0))</f>
        <v/>
      </c>
      <c r="L17" s="4">
        <f>IF($J17="","",IF($J17&gt;=85,"STRONG",IF($J17&gt;=70,"POSITIVE",IF($J17&gt;=55,"WATCH",IF($J17&gt;=40,"WEAK","REJECT")))))</f>
        <v/>
      </c>
      <c r="M17" s="4">
        <f>IF($A17="","",IF($C17&lt;&gt;"ELIGIBLE","Needs verified source / data coverage",IF($D17&lt;0.8,"Provisional coverage","Screened")))</f>
        <v/>
      </c>
    </row>
    <row r="18">
      <c r="A18" s="4">
        <f>IF(Screen_Input!H18="","",Screen_Input!A18)</f>
        <v/>
      </c>
      <c r="B18" s="4">
        <f>IF(Screen_Input!H18="","",Screen_Input!B18)</f>
        <v/>
      </c>
      <c r="C18" s="9">
        <f>IF(Screen_Input!H18="","",IF(OR(Screen_Input!S18&lt;&gt;"verified",Screen_Input!H18=""),"INCOMPLETE","ELIGIBLE"))</f>
        <v/>
      </c>
      <c r="D18" s="4">
        <f>IF($A18="","",COUNT(Screen_Input!I18:Q18)/9)</f>
        <v/>
      </c>
      <c r="E18" s="4">
        <f>IF($A18="","",IF(Screen_Input!K18="","",MIN(100,MAX(0,Screen_Input!K18*100))))</f>
        <v/>
      </c>
      <c r="F18" s="4">
        <f>IF($A18="","",IF(Screen_Input!O18="","",MIN(100,MAX(0,Screen_Input!O18*100))))</f>
        <v/>
      </c>
      <c r="G18" s="4">
        <f>IF($A18="","",IF(Screen_Input!N18="","",MIN(100,MAX(0,100-Screen_Input!N18*20))))</f>
        <v/>
      </c>
      <c r="H18" s="4">
        <f>IF($A18="","",IF(Screen_Input!P18="","",MIN(100,MAX(0,100-Screen_Input!P18*3))))</f>
        <v/>
      </c>
      <c r="I18" s="4">
        <f>IF($A18="","",IF(Screen_Input!S18&lt;&gt;"verified","",50))</f>
        <v/>
      </c>
      <c r="J18" s="10">
        <f>IF(OR($A18="",$D18&lt;0.6,$C18&lt;&gt;"ELIGIBLE"),"",ROUND(($E18*0.25+$F18*0.15+$G18*0.10+$H18*0.20+$I18*0.10+50*0.20),1))</f>
        <v/>
      </c>
      <c r="K18" s="11">
        <f>IF($J18="","",ROUND($D18*100,0))</f>
        <v/>
      </c>
      <c r="L18" s="4">
        <f>IF($J18="","",IF($J18&gt;=85,"STRONG",IF($J18&gt;=70,"POSITIVE",IF($J18&gt;=55,"WATCH",IF($J18&gt;=40,"WEAK","REJECT")))))</f>
        <v/>
      </c>
      <c r="M18" s="4">
        <f>IF($A18="","",IF($C18&lt;&gt;"ELIGIBLE","Needs verified source / data coverage",IF($D18&lt;0.8,"Provisional coverage","Screened")))</f>
        <v/>
      </c>
    </row>
    <row r="19">
      <c r="A19" s="4">
        <f>IF(Screen_Input!H19="","",Screen_Input!A19)</f>
        <v/>
      </c>
      <c r="B19" s="4">
        <f>IF(Screen_Input!H19="","",Screen_Input!B19)</f>
        <v/>
      </c>
      <c r="C19" s="9">
        <f>IF(Screen_Input!H19="","",IF(OR(Screen_Input!S19&lt;&gt;"verified",Screen_Input!H19=""),"INCOMPLETE","ELIGIBLE"))</f>
        <v/>
      </c>
      <c r="D19" s="4">
        <f>IF($A19="","",COUNT(Screen_Input!I19:Q19)/9)</f>
        <v/>
      </c>
      <c r="E19" s="4">
        <f>IF($A19="","",IF(Screen_Input!K19="","",MIN(100,MAX(0,Screen_Input!K19*100))))</f>
        <v/>
      </c>
      <c r="F19" s="4">
        <f>IF($A19="","",IF(Screen_Input!O19="","",MIN(100,MAX(0,Screen_Input!O19*100))))</f>
        <v/>
      </c>
      <c r="G19" s="4">
        <f>IF($A19="","",IF(Screen_Input!N19="","",MIN(100,MAX(0,100-Screen_Input!N19*20))))</f>
        <v/>
      </c>
      <c r="H19" s="4">
        <f>IF($A19="","",IF(Screen_Input!P19="","",MIN(100,MAX(0,100-Screen_Input!P19*3))))</f>
        <v/>
      </c>
      <c r="I19" s="4">
        <f>IF($A19="","",IF(Screen_Input!S19&lt;&gt;"verified","",50))</f>
        <v/>
      </c>
      <c r="J19" s="10">
        <f>IF(OR($A19="",$D19&lt;0.6,$C19&lt;&gt;"ELIGIBLE"),"",ROUND(($E19*0.25+$F19*0.15+$G19*0.10+$H19*0.20+$I19*0.10+50*0.20),1))</f>
        <v/>
      </c>
      <c r="K19" s="11">
        <f>IF($J19="","",ROUND($D19*100,0))</f>
        <v/>
      </c>
      <c r="L19" s="4">
        <f>IF($J19="","",IF($J19&gt;=85,"STRONG",IF($J19&gt;=70,"POSITIVE",IF($J19&gt;=55,"WATCH",IF($J19&gt;=40,"WEAK","REJECT")))))</f>
        <v/>
      </c>
      <c r="M19" s="4">
        <f>IF($A19="","",IF($C19&lt;&gt;"ELIGIBLE","Needs verified source / data coverage",IF($D19&lt;0.8,"Provisional coverage","Screened")))</f>
        <v/>
      </c>
    </row>
    <row r="20">
      <c r="A20" s="4">
        <f>IF(Screen_Input!H20="","",Screen_Input!A20)</f>
        <v/>
      </c>
      <c r="B20" s="4">
        <f>IF(Screen_Input!H20="","",Screen_Input!B20)</f>
        <v/>
      </c>
      <c r="C20" s="9">
        <f>IF(Screen_Input!H20="","",IF(OR(Screen_Input!S20&lt;&gt;"verified",Screen_Input!H20=""),"INCOMPLETE","ELIGIBLE"))</f>
        <v/>
      </c>
      <c r="D20" s="4">
        <f>IF($A20="","",COUNT(Screen_Input!I20:Q20)/9)</f>
        <v/>
      </c>
      <c r="E20" s="4">
        <f>IF($A20="","",IF(Screen_Input!K20="","",MIN(100,MAX(0,Screen_Input!K20*100))))</f>
        <v/>
      </c>
      <c r="F20" s="4">
        <f>IF($A20="","",IF(Screen_Input!O20="","",MIN(100,MAX(0,Screen_Input!O20*100))))</f>
        <v/>
      </c>
      <c r="G20" s="4">
        <f>IF($A20="","",IF(Screen_Input!N20="","",MIN(100,MAX(0,100-Screen_Input!N20*20))))</f>
        <v/>
      </c>
      <c r="H20" s="4">
        <f>IF($A20="","",IF(Screen_Input!P20="","",MIN(100,MAX(0,100-Screen_Input!P20*3))))</f>
        <v/>
      </c>
      <c r="I20" s="4">
        <f>IF($A20="","",IF(Screen_Input!S20&lt;&gt;"verified","",50))</f>
        <v/>
      </c>
      <c r="J20" s="10">
        <f>IF(OR($A20="",$D20&lt;0.6,$C20&lt;&gt;"ELIGIBLE"),"",ROUND(($E20*0.25+$F20*0.15+$G20*0.10+$H20*0.20+$I20*0.10+50*0.20),1))</f>
        <v/>
      </c>
      <c r="K20" s="11">
        <f>IF($J20="","",ROUND($D20*100,0))</f>
        <v/>
      </c>
      <c r="L20" s="4">
        <f>IF($J20="","",IF($J20&gt;=85,"STRONG",IF($J20&gt;=70,"POSITIVE",IF($J20&gt;=55,"WATCH",IF($J20&gt;=40,"WEAK","REJECT")))))</f>
        <v/>
      </c>
      <c r="M20" s="4">
        <f>IF($A20="","",IF($C20&lt;&gt;"ELIGIBLE","Needs verified source / data coverage",IF($D20&lt;0.8,"Provisional coverage","Screened")))</f>
        <v/>
      </c>
    </row>
    <row r="21">
      <c r="A21" s="4">
        <f>IF(Screen_Input!H21="","",Screen_Input!A21)</f>
        <v/>
      </c>
      <c r="B21" s="4">
        <f>IF(Screen_Input!H21="","",Screen_Input!B21)</f>
        <v/>
      </c>
      <c r="C21" s="9">
        <f>IF(Screen_Input!H21="","",IF(OR(Screen_Input!S21&lt;&gt;"verified",Screen_Input!H21=""),"INCOMPLETE","ELIGIBLE"))</f>
        <v/>
      </c>
      <c r="D21" s="4">
        <f>IF($A21="","",COUNT(Screen_Input!I21:Q21)/9)</f>
        <v/>
      </c>
      <c r="E21" s="4">
        <f>IF($A21="","",IF(Screen_Input!K21="","",MIN(100,MAX(0,Screen_Input!K21*100))))</f>
        <v/>
      </c>
      <c r="F21" s="4">
        <f>IF($A21="","",IF(Screen_Input!O21="","",MIN(100,MAX(0,Screen_Input!O21*100))))</f>
        <v/>
      </c>
      <c r="G21" s="4">
        <f>IF($A21="","",IF(Screen_Input!N21="","",MIN(100,MAX(0,100-Screen_Input!N21*20))))</f>
        <v/>
      </c>
      <c r="H21" s="4">
        <f>IF($A21="","",IF(Screen_Input!P21="","",MIN(100,MAX(0,100-Screen_Input!P21*3))))</f>
        <v/>
      </c>
      <c r="I21" s="4">
        <f>IF($A21="","",IF(Screen_Input!S21&lt;&gt;"verified","",50))</f>
        <v/>
      </c>
      <c r="J21" s="10">
        <f>IF(OR($A21="",$D21&lt;0.6,$C21&lt;&gt;"ELIGIBLE"),"",ROUND(($E21*0.25+$F21*0.15+$G21*0.10+$H21*0.20+$I21*0.10+50*0.20),1))</f>
        <v/>
      </c>
      <c r="K21" s="11">
        <f>IF($J21="","",ROUND($D21*100,0))</f>
        <v/>
      </c>
      <c r="L21" s="4">
        <f>IF($J21="","",IF($J21&gt;=85,"STRONG",IF($J21&gt;=70,"POSITIVE",IF($J21&gt;=55,"WATCH",IF($J21&gt;=40,"WEAK","REJECT")))))</f>
        <v/>
      </c>
      <c r="M21" s="4">
        <f>IF($A21="","",IF($C21&lt;&gt;"ELIGIBLE","Needs verified source / data coverage",IF($D21&lt;0.8,"Provisional coverage","Screened")))</f>
        <v/>
      </c>
    </row>
    <row r="22">
      <c r="A22" s="4">
        <f>IF(Screen_Input!H22="","",Screen_Input!A22)</f>
        <v/>
      </c>
      <c r="B22" s="4">
        <f>IF(Screen_Input!H22="","",Screen_Input!B22)</f>
        <v/>
      </c>
      <c r="C22" s="9">
        <f>IF(Screen_Input!H22="","",IF(OR(Screen_Input!S22&lt;&gt;"verified",Screen_Input!H22=""),"INCOMPLETE","ELIGIBLE"))</f>
        <v/>
      </c>
      <c r="D22" s="4">
        <f>IF($A22="","",COUNT(Screen_Input!I22:Q22)/9)</f>
        <v/>
      </c>
      <c r="E22" s="4">
        <f>IF($A22="","",IF(Screen_Input!K22="","",MIN(100,MAX(0,Screen_Input!K22*100))))</f>
        <v/>
      </c>
      <c r="F22" s="4">
        <f>IF($A22="","",IF(Screen_Input!O22="","",MIN(100,MAX(0,Screen_Input!O22*100))))</f>
        <v/>
      </c>
      <c r="G22" s="4">
        <f>IF($A22="","",IF(Screen_Input!N22="","",MIN(100,MAX(0,100-Screen_Input!N22*20))))</f>
        <v/>
      </c>
      <c r="H22" s="4">
        <f>IF($A22="","",IF(Screen_Input!P22="","",MIN(100,MAX(0,100-Screen_Input!P22*3))))</f>
        <v/>
      </c>
      <c r="I22" s="4">
        <f>IF($A22="","",IF(Screen_Input!S22&lt;&gt;"verified","",50))</f>
        <v/>
      </c>
      <c r="J22" s="10">
        <f>IF(OR($A22="",$D22&lt;0.6,$C22&lt;&gt;"ELIGIBLE"),"",ROUND(($E22*0.25+$F22*0.15+$G22*0.10+$H22*0.20+$I22*0.10+50*0.20),1))</f>
        <v/>
      </c>
      <c r="K22" s="11">
        <f>IF($J22="","",ROUND($D22*100,0))</f>
        <v/>
      </c>
      <c r="L22" s="4">
        <f>IF($J22="","",IF($J22&gt;=85,"STRONG",IF($J22&gt;=70,"POSITIVE",IF($J22&gt;=55,"WATCH",IF($J22&gt;=40,"WEAK","REJECT")))))</f>
        <v/>
      </c>
      <c r="M22" s="4">
        <f>IF($A22="","",IF($C22&lt;&gt;"ELIGIBLE","Needs verified source / data coverage",IF($D22&lt;0.8,"Provisional coverage","Screened")))</f>
        <v/>
      </c>
    </row>
    <row r="23">
      <c r="A23" s="4">
        <f>IF(Screen_Input!H23="","",Screen_Input!A23)</f>
        <v/>
      </c>
      <c r="B23" s="4">
        <f>IF(Screen_Input!H23="","",Screen_Input!B23)</f>
        <v/>
      </c>
      <c r="C23" s="9">
        <f>IF(Screen_Input!H23="","",IF(OR(Screen_Input!S23&lt;&gt;"verified",Screen_Input!H23=""),"INCOMPLETE","ELIGIBLE"))</f>
        <v/>
      </c>
      <c r="D23" s="4">
        <f>IF($A23="","",COUNT(Screen_Input!I23:Q23)/9)</f>
        <v/>
      </c>
      <c r="E23" s="4">
        <f>IF($A23="","",IF(Screen_Input!K23="","",MIN(100,MAX(0,Screen_Input!K23*100))))</f>
        <v/>
      </c>
      <c r="F23" s="4">
        <f>IF($A23="","",IF(Screen_Input!O23="","",MIN(100,MAX(0,Screen_Input!O23*100))))</f>
        <v/>
      </c>
      <c r="G23" s="4">
        <f>IF($A23="","",IF(Screen_Input!N23="","",MIN(100,MAX(0,100-Screen_Input!N23*20))))</f>
        <v/>
      </c>
      <c r="H23" s="4">
        <f>IF($A23="","",IF(Screen_Input!P23="","",MIN(100,MAX(0,100-Screen_Input!P23*3))))</f>
        <v/>
      </c>
      <c r="I23" s="4">
        <f>IF($A23="","",IF(Screen_Input!S23&lt;&gt;"verified","",50))</f>
        <v/>
      </c>
      <c r="J23" s="10">
        <f>IF(OR($A23="",$D23&lt;0.6,$C23&lt;&gt;"ELIGIBLE"),"",ROUND(($E23*0.25+$F23*0.15+$G23*0.10+$H23*0.20+$I23*0.10+50*0.20),1))</f>
        <v/>
      </c>
      <c r="K23" s="11">
        <f>IF($J23="","",ROUND($D23*100,0))</f>
        <v/>
      </c>
      <c r="L23" s="4">
        <f>IF($J23="","",IF($J23&gt;=85,"STRONG",IF($J23&gt;=70,"POSITIVE",IF($J23&gt;=55,"WATCH",IF($J23&gt;=40,"WEAK","REJECT")))))</f>
        <v/>
      </c>
      <c r="M23" s="4">
        <f>IF($A23="","",IF($C23&lt;&gt;"ELIGIBLE","Needs verified source / data coverage",IF($D23&lt;0.8,"Provisional coverage","Screened")))</f>
        <v/>
      </c>
    </row>
    <row r="24">
      <c r="A24" s="4">
        <f>IF(Screen_Input!H24="","",Screen_Input!A24)</f>
        <v/>
      </c>
      <c r="B24" s="4">
        <f>IF(Screen_Input!H24="","",Screen_Input!B24)</f>
        <v/>
      </c>
      <c r="C24" s="9">
        <f>IF(Screen_Input!H24="","",IF(OR(Screen_Input!S24&lt;&gt;"verified",Screen_Input!H24=""),"INCOMPLETE","ELIGIBLE"))</f>
        <v/>
      </c>
      <c r="D24" s="4">
        <f>IF($A24="","",COUNT(Screen_Input!I24:Q24)/9)</f>
        <v/>
      </c>
      <c r="E24" s="4">
        <f>IF($A24="","",IF(Screen_Input!K24="","",MIN(100,MAX(0,Screen_Input!K24*100))))</f>
        <v/>
      </c>
      <c r="F24" s="4">
        <f>IF($A24="","",IF(Screen_Input!O24="","",MIN(100,MAX(0,Screen_Input!O24*100))))</f>
        <v/>
      </c>
      <c r="G24" s="4">
        <f>IF($A24="","",IF(Screen_Input!N24="","",MIN(100,MAX(0,100-Screen_Input!N24*20))))</f>
        <v/>
      </c>
      <c r="H24" s="4">
        <f>IF($A24="","",IF(Screen_Input!P24="","",MIN(100,MAX(0,100-Screen_Input!P24*3))))</f>
        <v/>
      </c>
      <c r="I24" s="4">
        <f>IF($A24="","",IF(Screen_Input!S24&lt;&gt;"verified","",50))</f>
        <v/>
      </c>
      <c r="J24" s="10">
        <f>IF(OR($A24="",$D24&lt;0.6,$C24&lt;&gt;"ELIGIBLE"),"",ROUND(($E24*0.25+$F24*0.15+$G24*0.10+$H24*0.20+$I24*0.10+50*0.20),1))</f>
        <v/>
      </c>
      <c r="K24" s="11">
        <f>IF($J24="","",ROUND($D24*100,0))</f>
        <v/>
      </c>
      <c r="L24" s="4">
        <f>IF($J24="","",IF($J24&gt;=85,"STRONG",IF($J24&gt;=70,"POSITIVE",IF($J24&gt;=55,"WATCH",IF($J24&gt;=40,"WEAK","REJECT")))))</f>
        <v/>
      </c>
      <c r="M24" s="4">
        <f>IF($A24="","",IF($C24&lt;&gt;"ELIGIBLE","Needs verified source / data coverage",IF($D24&lt;0.8,"Provisional coverage","Screened")))</f>
        <v/>
      </c>
    </row>
    <row r="25">
      <c r="A25" s="4">
        <f>IF(Screen_Input!H25="","",Screen_Input!A25)</f>
        <v/>
      </c>
      <c r="B25" s="4">
        <f>IF(Screen_Input!H25="","",Screen_Input!B25)</f>
        <v/>
      </c>
      <c r="C25" s="9">
        <f>IF(Screen_Input!H25="","",IF(OR(Screen_Input!S25&lt;&gt;"verified",Screen_Input!H25=""),"INCOMPLETE","ELIGIBLE"))</f>
        <v/>
      </c>
      <c r="D25" s="4">
        <f>IF($A25="","",COUNT(Screen_Input!I25:Q25)/9)</f>
        <v/>
      </c>
      <c r="E25" s="4">
        <f>IF($A25="","",IF(Screen_Input!K25="","",MIN(100,MAX(0,Screen_Input!K25*100))))</f>
        <v/>
      </c>
      <c r="F25" s="4">
        <f>IF($A25="","",IF(Screen_Input!O25="","",MIN(100,MAX(0,Screen_Input!O25*100))))</f>
        <v/>
      </c>
      <c r="G25" s="4">
        <f>IF($A25="","",IF(Screen_Input!N25="","",MIN(100,MAX(0,100-Screen_Input!N25*20))))</f>
        <v/>
      </c>
      <c r="H25" s="4">
        <f>IF($A25="","",IF(Screen_Input!P25="","",MIN(100,MAX(0,100-Screen_Input!P25*3))))</f>
        <v/>
      </c>
      <c r="I25" s="4">
        <f>IF($A25="","",IF(Screen_Input!S25&lt;&gt;"verified","",50))</f>
        <v/>
      </c>
      <c r="J25" s="10">
        <f>IF(OR($A25="",$D25&lt;0.6,$C25&lt;&gt;"ELIGIBLE"),"",ROUND(($E25*0.25+$F25*0.15+$G25*0.10+$H25*0.20+$I25*0.10+50*0.20),1))</f>
        <v/>
      </c>
      <c r="K25" s="11">
        <f>IF($J25="","",ROUND($D25*100,0))</f>
        <v/>
      </c>
      <c r="L25" s="4">
        <f>IF($J25="","",IF($J25&gt;=85,"STRONG",IF($J25&gt;=70,"POSITIVE",IF($J25&gt;=55,"WATCH",IF($J25&gt;=40,"WEAK","REJECT")))))</f>
        <v/>
      </c>
      <c r="M25" s="4">
        <f>IF($A25="","",IF($C25&lt;&gt;"ELIGIBLE","Needs verified source / data coverage",IF($D25&lt;0.8,"Provisional coverage","Screened")))</f>
        <v/>
      </c>
    </row>
    <row r="26">
      <c r="A26" s="4">
        <f>IF(Screen_Input!H26="","",Screen_Input!A26)</f>
        <v/>
      </c>
      <c r="B26" s="4">
        <f>IF(Screen_Input!H26="","",Screen_Input!B26)</f>
        <v/>
      </c>
      <c r="C26" s="9">
        <f>IF(Screen_Input!H26="","",IF(OR(Screen_Input!S26&lt;&gt;"verified",Screen_Input!H26=""),"INCOMPLETE","ELIGIBLE"))</f>
        <v/>
      </c>
      <c r="D26" s="4">
        <f>IF($A26="","",COUNT(Screen_Input!I26:Q26)/9)</f>
        <v/>
      </c>
      <c r="E26" s="4">
        <f>IF($A26="","",IF(Screen_Input!K26="","",MIN(100,MAX(0,Screen_Input!K26*100))))</f>
        <v/>
      </c>
      <c r="F26" s="4">
        <f>IF($A26="","",IF(Screen_Input!O26="","",MIN(100,MAX(0,Screen_Input!O26*100))))</f>
        <v/>
      </c>
      <c r="G26" s="4">
        <f>IF($A26="","",IF(Screen_Input!N26="","",MIN(100,MAX(0,100-Screen_Input!N26*20))))</f>
        <v/>
      </c>
      <c r="H26" s="4">
        <f>IF($A26="","",IF(Screen_Input!P26="","",MIN(100,MAX(0,100-Screen_Input!P26*3))))</f>
        <v/>
      </c>
      <c r="I26" s="4">
        <f>IF($A26="","",IF(Screen_Input!S26&lt;&gt;"verified","",50))</f>
        <v/>
      </c>
      <c r="J26" s="10">
        <f>IF(OR($A26="",$D26&lt;0.6,$C26&lt;&gt;"ELIGIBLE"),"",ROUND(($E26*0.25+$F26*0.15+$G26*0.10+$H26*0.20+$I26*0.10+50*0.20),1))</f>
        <v/>
      </c>
      <c r="K26" s="11">
        <f>IF($J26="","",ROUND($D26*100,0))</f>
        <v/>
      </c>
      <c r="L26" s="4">
        <f>IF($J26="","",IF($J26&gt;=85,"STRONG",IF($J26&gt;=70,"POSITIVE",IF($J26&gt;=55,"WATCH",IF($J26&gt;=40,"WEAK","REJECT")))))</f>
        <v/>
      </c>
      <c r="M26" s="4">
        <f>IF($A26="","",IF($C26&lt;&gt;"ELIGIBLE","Needs verified source / data coverage",IF($D26&lt;0.8,"Provisional coverage","Screened")))</f>
        <v/>
      </c>
    </row>
    <row r="27">
      <c r="A27" s="4">
        <f>IF(Screen_Input!H27="","",Screen_Input!A27)</f>
        <v/>
      </c>
      <c r="B27" s="4">
        <f>IF(Screen_Input!H27="","",Screen_Input!B27)</f>
        <v/>
      </c>
      <c r="C27" s="9">
        <f>IF(Screen_Input!H27="","",IF(OR(Screen_Input!S27&lt;&gt;"verified",Screen_Input!H27=""),"INCOMPLETE","ELIGIBLE"))</f>
        <v/>
      </c>
      <c r="D27" s="4">
        <f>IF($A27="","",COUNT(Screen_Input!I27:Q27)/9)</f>
        <v/>
      </c>
      <c r="E27" s="4">
        <f>IF($A27="","",IF(Screen_Input!K27="","",MIN(100,MAX(0,Screen_Input!K27*100))))</f>
        <v/>
      </c>
      <c r="F27" s="4">
        <f>IF($A27="","",IF(Screen_Input!O27="","",MIN(100,MAX(0,Screen_Input!O27*100))))</f>
        <v/>
      </c>
      <c r="G27" s="4">
        <f>IF($A27="","",IF(Screen_Input!N27="","",MIN(100,MAX(0,100-Screen_Input!N27*20))))</f>
        <v/>
      </c>
      <c r="H27" s="4">
        <f>IF($A27="","",IF(Screen_Input!P27="","",MIN(100,MAX(0,100-Screen_Input!P27*3))))</f>
        <v/>
      </c>
      <c r="I27" s="4">
        <f>IF($A27="","",IF(Screen_Input!S27&lt;&gt;"verified","",50))</f>
        <v/>
      </c>
      <c r="J27" s="10">
        <f>IF(OR($A27="",$D27&lt;0.6,$C27&lt;&gt;"ELIGIBLE"),"",ROUND(($E27*0.25+$F27*0.15+$G27*0.10+$H27*0.20+$I27*0.10+50*0.20),1))</f>
        <v/>
      </c>
      <c r="K27" s="11">
        <f>IF($J27="","",ROUND($D27*100,0))</f>
        <v/>
      </c>
      <c r="L27" s="4">
        <f>IF($J27="","",IF($J27&gt;=85,"STRONG",IF($J27&gt;=70,"POSITIVE",IF($J27&gt;=55,"WATCH",IF($J27&gt;=40,"WEAK","REJECT")))))</f>
        <v/>
      </c>
      <c r="M27" s="4">
        <f>IF($A27="","",IF($C27&lt;&gt;"ELIGIBLE","Needs verified source / data coverage",IF($D27&lt;0.8,"Provisional coverage","Screened")))</f>
        <v/>
      </c>
    </row>
    <row r="28">
      <c r="A28" s="4">
        <f>IF(Screen_Input!H28="","",Screen_Input!A28)</f>
        <v/>
      </c>
      <c r="B28" s="4">
        <f>IF(Screen_Input!H28="","",Screen_Input!B28)</f>
        <v/>
      </c>
      <c r="C28" s="9">
        <f>IF(Screen_Input!H28="","",IF(OR(Screen_Input!S28&lt;&gt;"verified",Screen_Input!H28=""),"INCOMPLETE","ELIGIBLE"))</f>
        <v/>
      </c>
      <c r="D28" s="4">
        <f>IF($A28="","",COUNT(Screen_Input!I28:Q28)/9)</f>
        <v/>
      </c>
      <c r="E28" s="4">
        <f>IF($A28="","",IF(Screen_Input!K28="","",MIN(100,MAX(0,Screen_Input!K28*100))))</f>
        <v/>
      </c>
      <c r="F28" s="4">
        <f>IF($A28="","",IF(Screen_Input!O28="","",MIN(100,MAX(0,Screen_Input!O28*100))))</f>
        <v/>
      </c>
      <c r="G28" s="4">
        <f>IF($A28="","",IF(Screen_Input!N28="","",MIN(100,MAX(0,100-Screen_Input!N28*20))))</f>
        <v/>
      </c>
      <c r="H28" s="4">
        <f>IF($A28="","",IF(Screen_Input!P28="","",MIN(100,MAX(0,100-Screen_Input!P28*3))))</f>
        <v/>
      </c>
      <c r="I28" s="4">
        <f>IF($A28="","",IF(Screen_Input!S28&lt;&gt;"verified","",50))</f>
        <v/>
      </c>
      <c r="J28" s="10">
        <f>IF(OR($A28="",$D28&lt;0.6,$C28&lt;&gt;"ELIGIBLE"),"",ROUND(($E28*0.25+$F28*0.15+$G28*0.10+$H28*0.20+$I28*0.10+50*0.20),1))</f>
        <v/>
      </c>
      <c r="K28" s="11">
        <f>IF($J28="","",ROUND($D28*100,0))</f>
        <v/>
      </c>
      <c r="L28" s="4">
        <f>IF($J28="","",IF($J28&gt;=85,"STRONG",IF($J28&gt;=70,"POSITIVE",IF($J28&gt;=55,"WATCH",IF($J28&gt;=40,"WEAK","REJECT")))))</f>
        <v/>
      </c>
      <c r="M28" s="4">
        <f>IF($A28="","",IF($C28&lt;&gt;"ELIGIBLE","Needs verified source / data coverage",IF($D28&lt;0.8,"Provisional coverage","Screened")))</f>
        <v/>
      </c>
    </row>
    <row r="29">
      <c r="A29" s="4">
        <f>IF(Screen_Input!H29="","",Screen_Input!A29)</f>
        <v/>
      </c>
      <c r="B29" s="4">
        <f>IF(Screen_Input!H29="","",Screen_Input!B29)</f>
        <v/>
      </c>
      <c r="C29" s="9">
        <f>IF(Screen_Input!H29="","",IF(OR(Screen_Input!S29&lt;&gt;"verified",Screen_Input!H29=""),"INCOMPLETE","ELIGIBLE"))</f>
        <v/>
      </c>
      <c r="D29" s="4">
        <f>IF($A29="","",COUNT(Screen_Input!I29:Q29)/9)</f>
        <v/>
      </c>
      <c r="E29" s="4">
        <f>IF($A29="","",IF(Screen_Input!K29="","",MIN(100,MAX(0,Screen_Input!K29*100))))</f>
        <v/>
      </c>
      <c r="F29" s="4">
        <f>IF($A29="","",IF(Screen_Input!O29="","",MIN(100,MAX(0,Screen_Input!O29*100))))</f>
        <v/>
      </c>
      <c r="G29" s="4">
        <f>IF($A29="","",IF(Screen_Input!N29="","",MIN(100,MAX(0,100-Screen_Input!N29*20))))</f>
        <v/>
      </c>
      <c r="H29" s="4">
        <f>IF($A29="","",IF(Screen_Input!P29="","",MIN(100,MAX(0,100-Screen_Input!P29*3))))</f>
        <v/>
      </c>
      <c r="I29" s="4">
        <f>IF($A29="","",IF(Screen_Input!S29&lt;&gt;"verified","",50))</f>
        <v/>
      </c>
      <c r="J29" s="10">
        <f>IF(OR($A29="",$D29&lt;0.6,$C29&lt;&gt;"ELIGIBLE"),"",ROUND(($E29*0.25+$F29*0.15+$G29*0.10+$H29*0.20+$I29*0.10+50*0.20),1))</f>
        <v/>
      </c>
      <c r="K29" s="11">
        <f>IF($J29="","",ROUND($D29*100,0))</f>
        <v/>
      </c>
      <c r="L29" s="4">
        <f>IF($J29="","",IF($J29&gt;=85,"STRONG",IF($J29&gt;=70,"POSITIVE",IF($J29&gt;=55,"WATCH",IF($J29&gt;=40,"WEAK","REJECT")))))</f>
        <v/>
      </c>
      <c r="M29" s="4">
        <f>IF($A29="","",IF($C29&lt;&gt;"ELIGIBLE","Needs verified source / data coverage",IF($D29&lt;0.8,"Provisional coverage","Screened")))</f>
        <v/>
      </c>
    </row>
    <row r="30">
      <c r="A30" s="4">
        <f>IF(Screen_Input!H30="","",Screen_Input!A30)</f>
        <v/>
      </c>
      <c r="B30" s="4">
        <f>IF(Screen_Input!H30="","",Screen_Input!B30)</f>
        <v/>
      </c>
      <c r="C30" s="9">
        <f>IF(Screen_Input!H30="","",IF(OR(Screen_Input!S30&lt;&gt;"verified",Screen_Input!H30=""),"INCOMPLETE","ELIGIBLE"))</f>
        <v/>
      </c>
      <c r="D30" s="4">
        <f>IF($A30="","",COUNT(Screen_Input!I30:Q30)/9)</f>
        <v/>
      </c>
      <c r="E30" s="4">
        <f>IF($A30="","",IF(Screen_Input!K30="","",MIN(100,MAX(0,Screen_Input!K30*100))))</f>
        <v/>
      </c>
      <c r="F30" s="4">
        <f>IF($A30="","",IF(Screen_Input!O30="","",MIN(100,MAX(0,Screen_Input!O30*100))))</f>
        <v/>
      </c>
      <c r="G30" s="4">
        <f>IF($A30="","",IF(Screen_Input!N30="","",MIN(100,MAX(0,100-Screen_Input!N30*20))))</f>
        <v/>
      </c>
      <c r="H30" s="4">
        <f>IF($A30="","",IF(Screen_Input!P30="","",MIN(100,MAX(0,100-Screen_Input!P30*3))))</f>
        <v/>
      </c>
      <c r="I30" s="4">
        <f>IF($A30="","",IF(Screen_Input!S30&lt;&gt;"verified","",50))</f>
        <v/>
      </c>
      <c r="J30" s="10">
        <f>IF(OR($A30="",$D30&lt;0.6,$C30&lt;&gt;"ELIGIBLE"),"",ROUND(($E30*0.25+$F30*0.15+$G30*0.10+$H30*0.20+$I30*0.10+50*0.20),1))</f>
        <v/>
      </c>
      <c r="K30" s="11">
        <f>IF($J30="","",ROUND($D30*100,0))</f>
        <v/>
      </c>
      <c r="L30" s="4">
        <f>IF($J30="","",IF($J30&gt;=85,"STRONG",IF($J30&gt;=70,"POSITIVE",IF($J30&gt;=55,"WATCH",IF($J30&gt;=40,"WEAK","REJECT")))))</f>
        <v/>
      </c>
      <c r="M30" s="4">
        <f>IF($A30="","",IF($C30&lt;&gt;"ELIGIBLE","Needs verified source / data coverage",IF($D30&lt;0.8,"Provisional coverage","Screened")))</f>
        <v/>
      </c>
    </row>
    <row r="31">
      <c r="A31" s="4">
        <f>IF(Screen_Input!H31="","",Screen_Input!A31)</f>
        <v/>
      </c>
      <c r="B31" s="4">
        <f>IF(Screen_Input!H31="","",Screen_Input!B31)</f>
        <v/>
      </c>
      <c r="C31" s="9">
        <f>IF(Screen_Input!H31="","",IF(OR(Screen_Input!S31&lt;&gt;"verified",Screen_Input!H31=""),"INCOMPLETE","ELIGIBLE"))</f>
        <v/>
      </c>
      <c r="D31" s="4">
        <f>IF($A31="","",COUNT(Screen_Input!I31:Q31)/9)</f>
        <v/>
      </c>
      <c r="E31" s="4">
        <f>IF($A31="","",IF(Screen_Input!K31="","",MIN(100,MAX(0,Screen_Input!K31*100))))</f>
        <v/>
      </c>
      <c r="F31" s="4">
        <f>IF($A31="","",IF(Screen_Input!O31="","",MIN(100,MAX(0,Screen_Input!O31*100))))</f>
        <v/>
      </c>
      <c r="G31" s="4">
        <f>IF($A31="","",IF(Screen_Input!N31="","",MIN(100,MAX(0,100-Screen_Input!N31*20))))</f>
        <v/>
      </c>
      <c r="H31" s="4">
        <f>IF($A31="","",IF(Screen_Input!P31="","",MIN(100,MAX(0,100-Screen_Input!P31*3))))</f>
        <v/>
      </c>
      <c r="I31" s="4">
        <f>IF($A31="","",IF(Screen_Input!S31&lt;&gt;"verified","",50))</f>
        <v/>
      </c>
      <c r="J31" s="10">
        <f>IF(OR($A31="",$D31&lt;0.6,$C31&lt;&gt;"ELIGIBLE"),"",ROUND(($E31*0.25+$F31*0.15+$G31*0.10+$H31*0.20+$I31*0.10+50*0.20),1))</f>
        <v/>
      </c>
      <c r="K31" s="11">
        <f>IF($J31="","",ROUND($D31*100,0))</f>
        <v/>
      </c>
      <c r="L31" s="4">
        <f>IF($J31="","",IF($J31&gt;=85,"STRONG",IF($J31&gt;=70,"POSITIVE",IF($J31&gt;=55,"WATCH",IF($J31&gt;=40,"WEAK","REJECT")))))</f>
        <v/>
      </c>
      <c r="M31" s="4">
        <f>IF($A31="","",IF($C31&lt;&gt;"ELIGIBLE","Needs verified source / data coverage",IF($D31&lt;0.8,"Provisional coverage","Screened")))</f>
        <v/>
      </c>
    </row>
    <row r="32">
      <c r="A32" s="4">
        <f>IF(Screen_Input!H32="","",Screen_Input!A32)</f>
        <v/>
      </c>
      <c r="B32" s="4">
        <f>IF(Screen_Input!H32="","",Screen_Input!B32)</f>
        <v/>
      </c>
      <c r="C32" s="9">
        <f>IF(Screen_Input!H32="","",IF(OR(Screen_Input!S32&lt;&gt;"verified",Screen_Input!H32=""),"INCOMPLETE","ELIGIBLE"))</f>
        <v/>
      </c>
      <c r="D32" s="4">
        <f>IF($A32="","",COUNT(Screen_Input!I32:Q32)/9)</f>
        <v/>
      </c>
      <c r="E32" s="4">
        <f>IF($A32="","",IF(Screen_Input!K32="","",MIN(100,MAX(0,Screen_Input!K32*100))))</f>
        <v/>
      </c>
      <c r="F32" s="4">
        <f>IF($A32="","",IF(Screen_Input!O32="","",MIN(100,MAX(0,Screen_Input!O32*100))))</f>
        <v/>
      </c>
      <c r="G32" s="4">
        <f>IF($A32="","",IF(Screen_Input!N32="","",MIN(100,MAX(0,100-Screen_Input!N32*20))))</f>
        <v/>
      </c>
      <c r="H32" s="4">
        <f>IF($A32="","",IF(Screen_Input!P32="","",MIN(100,MAX(0,100-Screen_Input!P32*3))))</f>
        <v/>
      </c>
      <c r="I32" s="4">
        <f>IF($A32="","",IF(Screen_Input!S32&lt;&gt;"verified","",50))</f>
        <v/>
      </c>
      <c r="J32" s="10">
        <f>IF(OR($A32="",$D32&lt;0.6,$C32&lt;&gt;"ELIGIBLE"),"",ROUND(($E32*0.25+$F32*0.15+$G32*0.10+$H32*0.20+$I32*0.10+50*0.20),1))</f>
        <v/>
      </c>
      <c r="K32" s="11">
        <f>IF($J32="","",ROUND($D32*100,0))</f>
        <v/>
      </c>
      <c r="L32" s="4">
        <f>IF($J32="","",IF($J32&gt;=85,"STRONG",IF($J32&gt;=70,"POSITIVE",IF($J32&gt;=55,"WATCH",IF($J32&gt;=40,"WEAK","REJECT")))))</f>
        <v/>
      </c>
      <c r="M32" s="4">
        <f>IF($A32="","",IF($C32&lt;&gt;"ELIGIBLE","Needs verified source / data coverage",IF($D32&lt;0.8,"Provisional coverage","Screened")))</f>
        <v/>
      </c>
    </row>
    <row r="33">
      <c r="A33" s="4">
        <f>IF(Screen_Input!H33="","",Screen_Input!A33)</f>
        <v/>
      </c>
      <c r="B33" s="4">
        <f>IF(Screen_Input!H33="","",Screen_Input!B33)</f>
        <v/>
      </c>
      <c r="C33" s="9">
        <f>IF(Screen_Input!H33="","",IF(OR(Screen_Input!S33&lt;&gt;"verified",Screen_Input!H33=""),"INCOMPLETE","ELIGIBLE"))</f>
        <v/>
      </c>
      <c r="D33" s="4">
        <f>IF($A33="","",COUNT(Screen_Input!I33:Q33)/9)</f>
        <v/>
      </c>
      <c r="E33" s="4">
        <f>IF($A33="","",IF(Screen_Input!K33="","",MIN(100,MAX(0,Screen_Input!K33*100))))</f>
        <v/>
      </c>
      <c r="F33" s="4">
        <f>IF($A33="","",IF(Screen_Input!O33="","",MIN(100,MAX(0,Screen_Input!O33*100))))</f>
        <v/>
      </c>
      <c r="G33" s="4">
        <f>IF($A33="","",IF(Screen_Input!N33="","",MIN(100,MAX(0,100-Screen_Input!N33*20))))</f>
        <v/>
      </c>
      <c r="H33" s="4">
        <f>IF($A33="","",IF(Screen_Input!P33="","",MIN(100,MAX(0,100-Screen_Input!P33*3))))</f>
        <v/>
      </c>
      <c r="I33" s="4">
        <f>IF($A33="","",IF(Screen_Input!S33&lt;&gt;"verified","",50))</f>
        <v/>
      </c>
      <c r="J33" s="10">
        <f>IF(OR($A33="",$D33&lt;0.6,$C33&lt;&gt;"ELIGIBLE"),"",ROUND(($E33*0.25+$F33*0.15+$G33*0.10+$H33*0.20+$I33*0.10+50*0.20),1))</f>
        <v/>
      </c>
      <c r="K33" s="11">
        <f>IF($J33="","",ROUND($D33*100,0))</f>
        <v/>
      </c>
      <c r="L33" s="4">
        <f>IF($J33="","",IF($J33&gt;=85,"STRONG",IF($J33&gt;=70,"POSITIVE",IF($J33&gt;=55,"WATCH",IF($J33&gt;=40,"WEAK","REJECT")))))</f>
        <v/>
      </c>
      <c r="M33" s="4">
        <f>IF($A33="","",IF($C33&lt;&gt;"ELIGIBLE","Needs verified source / data coverage",IF($D33&lt;0.8,"Provisional coverage","Screened")))</f>
        <v/>
      </c>
    </row>
    <row r="34">
      <c r="A34" s="4">
        <f>IF(Screen_Input!H34="","",Screen_Input!A34)</f>
        <v/>
      </c>
      <c r="B34" s="4">
        <f>IF(Screen_Input!H34="","",Screen_Input!B34)</f>
        <v/>
      </c>
      <c r="C34" s="9">
        <f>IF(Screen_Input!H34="","",IF(OR(Screen_Input!S34&lt;&gt;"verified",Screen_Input!H34=""),"INCOMPLETE","ELIGIBLE"))</f>
        <v/>
      </c>
      <c r="D34" s="4">
        <f>IF($A34="","",COUNT(Screen_Input!I34:Q34)/9)</f>
        <v/>
      </c>
      <c r="E34" s="4">
        <f>IF($A34="","",IF(Screen_Input!K34="","",MIN(100,MAX(0,Screen_Input!K34*100))))</f>
        <v/>
      </c>
      <c r="F34" s="4">
        <f>IF($A34="","",IF(Screen_Input!O34="","",MIN(100,MAX(0,Screen_Input!O34*100))))</f>
        <v/>
      </c>
      <c r="G34" s="4">
        <f>IF($A34="","",IF(Screen_Input!N34="","",MIN(100,MAX(0,100-Screen_Input!N34*20))))</f>
        <v/>
      </c>
      <c r="H34" s="4">
        <f>IF($A34="","",IF(Screen_Input!P34="","",MIN(100,MAX(0,100-Screen_Input!P34*3))))</f>
        <v/>
      </c>
      <c r="I34" s="4">
        <f>IF($A34="","",IF(Screen_Input!S34&lt;&gt;"verified","",50))</f>
        <v/>
      </c>
      <c r="J34" s="10">
        <f>IF(OR($A34="",$D34&lt;0.6,$C34&lt;&gt;"ELIGIBLE"),"",ROUND(($E34*0.25+$F34*0.15+$G34*0.10+$H34*0.20+$I34*0.10+50*0.20),1))</f>
        <v/>
      </c>
      <c r="K34" s="11">
        <f>IF($J34="","",ROUND($D34*100,0))</f>
        <v/>
      </c>
      <c r="L34" s="4">
        <f>IF($J34="","",IF($J34&gt;=85,"STRONG",IF($J34&gt;=70,"POSITIVE",IF($J34&gt;=55,"WATCH",IF($J34&gt;=40,"WEAK","REJECT")))))</f>
        <v/>
      </c>
      <c r="M34" s="4">
        <f>IF($A34="","",IF($C34&lt;&gt;"ELIGIBLE","Needs verified source / data coverage",IF($D34&lt;0.8,"Provisional coverage","Screened")))</f>
        <v/>
      </c>
    </row>
    <row r="35">
      <c r="A35" s="4">
        <f>IF(Screen_Input!H35="","",Screen_Input!A35)</f>
        <v/>
      </c>
      <c r="B35" s="4">
        <f>IF(Screen_Input!H35="","",Screen_Input!B35)</f>
        <v/>
      </c>
      <c r="C35" s="9">
        <f>IF(Screen_Input!H35="","",IF(OR(Screen_Input!S35&lt;&gt;"verified",Screen_Input!H35=""),"INCOMPLETE","ELIGIBLE"))</f>
        <v/>
      </c>
      <c r="D35" s="4">
        <f>IF($A35="","",COUNT(Screen_Input!I35:Q35)/9)</f>
        <v/>
      </c>
      <c r="E35" s="4">
        <f>IF($A35="","",IF(Screen_Input!K35="","",MIN(100,MAX(0,Screen_Input!K35*100))))</f>
        <v/>
      </c>
      <c r="F35" s="4">
        <f>IF($A35="","",IF(Screen_Input!O35="","",MIN(100,MAX(0,Screen_Input!O35*100))))</f>
        <v/>
      </c>
      <c r="G35" s="4">
        <f>IF($A35="","",IF(Screen_Input!N35="","",MIN(100,MAX(0,100-Screen_Input!N35*20))))</f>
        <v/>
      </c>
      <c r="H35" s="4">
        <f>IF($A35="","",IF(Screen_Input!P35="","",MIN(100,MAX(0,100-Screen_Input!P35*3))))</f>
        <v/>
      </c>
      <c r="I35" s="4">
        <f>IF($A35="","",IF(Screen_Input!S35&lt;&gt;"verified","",50))</f>
        <v/>
      </c>
      <c r="J35" s="10">
        <f>IF(OR($A35="",$D35&lt;0.6,$C35&lt;&gt;"ELIGIBLE"),"",ROUND(($E35*0.25+$F35*0.15+$G35*0.10+$H35*0.20+$I35*0.10+50*0.20),1))</f>
        <v/>
      </c>
      <c r="K35" s="11">
        <f>IF($J35="","",ROUND($D35*100,0))</f>
        <v/>
      </c>
      <c r="L35" s="4">
        <f>IF($J35="","",IF($J35&gt;=85,"STRONG",IF($J35&gt;=70,"POSITIVE",IF($J35&gt;=55,"WATCH",IF($J35&gt;=40,"WEAK","REJECT")))))</f>
        <v/>
      </c>
      <c r="M35" s="4">
        <f>IF($A35="","",IF($C35&lt;&gt;"ELIGIBLE","Needs verified source / data coverage",IF($D35&lt;0.8,"Provisional coverage","Screened")))</f>
        <v/>
      </c>
    </row>
    <row r="36">
      <c r="A36" s="4">
        <f>IF(Screen_Input!H36="","",Screen_Input!A36)</f>
        <v/>
      </c>
      <c r="B36" s="4">
        <f>IF(Screen_Input!H36="","",Screen_Input!B36)</f>
        <v/>
      </c>
      <c r="C36" s="9">
        <f>IF(Screen_Input!H36="","",IF(OR(Screen_Input!S36&lt;&gt;"verified",Screen_Input!H36=""),"INCOMPLETE","ELIGIBLE"))</f>
        <v/>
      </c>
      <c r="D36" s="4">
        <f>IF($A36="","",COUNT(Screen_Input!I36:Q36)/9)</f>
        <v/>
      </c>
      <c r="E36" s="4">
        <f>IF($A36="","",IF(Screen_Input!K36="","",MIN(100,MAX(0,Screen_Input!K36*100))))</f>
        <v/>
      </c>
      <c r="F36" s="4">
        <f>IF($A36="","",IF(Screen_Input!O36="","",MIN(100,MAX(0,Screen_Input!O36*100))))</f>
        <v/>
      </c>
      <c r="G36" s="4">
        <f>IF($A36="","",IF(Screen_Input!N36="","",MIN(100,MAX(0,100-Screen_Input!N36*20))))</f>
        <v/>
      </c>
      <c r="H36" s="4">
        <f>IF($A36="","",IF(Screen_Input!P36="","",MIN(100,MAX(0,100-Screen_Input!P36*3))))</f>
        <v/>
      </c>
      <c r="I36" s="4">
        <f>IF($A36="","",IF(Screen_Input!S36&lt;&gt;"verified","",50))</f>
        <v/>
      </c>
      <c r="J36" s="10">
        <f>IF(OR($A36="",$D36&lt;0.6,$C36&lt;&gt;"ELIGIBLE"),"",ROUND(($E36*0.25+$F36*0.15+$G36*0.10+$H36*0.20+$I36*0.10+50*0.20),1))</f>
        <v/>
      </c>
      <c r="K36" s="11">
        <f>IF($J36="","",ROUND($D36*100,0))</f>
        <v/>
      </c>
      <c r="L36" s="4">
        <f>IF($J36="","",IF($J36&gt;=85,"STRONG",IF($J36&gt;=70,"POSITIVE",IF($J36&gt;=55,"WATCH",IF($J36&gt;=40,"WEAK","REJECT")))))</f>
        <v/>
      </c>
      <c r="M36" s="4">
        <f>IF($A36="","",IF($C36&lt;&gt;"ELIGIBLE","Needs verified source / data coverage",IF($D36&lt;0.8,"Provisional coverage","Screened")))</f>
        <v/>
      </c>
    </row>
    <row r="37">
      <c r="A37" s="4">
        <f>IF(Screen_Input!H37="","",Screen_Input!A37)</f>
        <v/>
      </c>
      <c r="B37" s="4">
        <f>IF(Screen_Input!H37="","",Screen_Input!B37)</f>
        <v/>
      </c>
      <c r="C37" s="9">
        <f>IF(Screen_Input!H37="","",IF(OR(Screen_Input!S37&lt;&gt;"verified",Screen_Input!H37=""),"INCOMPLETE","ELIGIBLE"))</f>
        <v/>
      </c>
      <c r="D37" s="4">
        <f>IF($A37="","",COUNT(Screen_Input!I37:Q37)/9)</f>
        <v/>
      </c>
      <c r="E37" s="4">
        <f>IF($A37="","",IF(Screen_Input!K37="","",MIN(100,MAX(0,Screen_Input!K37*100))))</f>
        <v/>
      </c>
      <c r="F37" s="4">
        <f>IF($A37="","",IF(Screen_Input!O37="","",MIN(100,MAX(0,Screen_Input!O37*100))))</f>
        <v/>
      </c>
      <c r="G37" s="4">
        <f>IF($A37="","",IF(Screen_Input!N37="","",MIN(100,MAX(0,100-Screen_Input!N37*20))))</f>
        <v/>
      </c>
      <c r="H37" s="4">
        <f>IF($A37="","",IF(Screen_Input!P37="","",MIN(100,MAX(0,100-Screen_Input!P37*3))))</f>
        <v/>
      </c>
      <c r="I37" s="4">
        <f>IF($A37="","",IF(Screen_Input!S37&lt;&gt;"verified","",50))</f>
        <v/>
      </c>
      <c r="J37" s="10">
        <f>IF(OR($A37="",$D37&lt;0.6,$C37&lt;&gt;"ELIGIBLE"),"",ROUND(($E37*0.25+$F37*0.15+$G37*0.10+$H37*0.20+$I37*0.10+50*0.20),1))</f>
        <v/>
      </c>
      <c r="K37" s="11">
        <f>IF($J37="","",ROUND($D37*100,0))</f>
        <v/>
      </c>
      <c r="L37" s="4">
        <f>IF($J37="","",IF($J37&gt;=85,"STRONG",IF($J37&gt;=70,"POSITIVE",IF($J37&gt;=55,"WATCH",IF($J37&gt;=40,"WEAK","REJECT")))))</f>
        <v/>
      </c>
      <c r="M37" s="4">
        <f>IF($A37="","",IF($C37&lt;&gt;"ELIGIBLE","Needs verified source / data coverage",IF($D37&lt;0.8,"Provisional coverage","Screened")))</f>
        <v/>
      </c>
    </row>
    <row r="38">
      <c r="A38" s="4">
        <f>IF(Screen_Input!H38="","",Screen_Input!A38)</f>
        <v/>
      </c>
      <c r="B38" s="4">
        <f>IF(Screen_Input!H38="","",Screen_Input!B38)</f>
        <v/>
      </c>
      <c r="C38" s="9">
        <f>IF(Screen_Input!H38="","",IF(OR(Screen_Input!S38&lt;&gt;"verified",Screen_Input!H38=""),"INCOMPLETE","ELIGIBLE"))</f>
        <v/>
      </c>
      <c r="D38" s="4">
        <f>IF($A38="","",COUNT(Screen_Input!I38:Q38)/9)</f>
        <v/>
      </c>
      <c r="E38" s="4">
        <f>IF($A38="","",IF(Screen_Input!K38="","",MIN(100,MAX(0,Screen_Input!K38*100))))</f>
        <v/>
      </c>
      <c r="F38" s="4">
        <f>IF($A38="","",IF(Screen_Input!O38="","",MIN(100,MAX(0,Screen_Input!O38*100))))</f>
        <v/>
      </c>
      <c r="G38" s="4">
        <f>IF($A38="","",IF(Screen_Input!N38="","",MIN(100,MAX(0,100-Screen_Input!N38*20))))</f>
        <v/>
      </c>
      <c r="H38" s="4">
        <f>IF($A38="","",IF(Screen_Input!P38="","",MIN(100,MAX(0,100-Screen_Input!P38*3))))</f>
        <v/>
      </c>
      <c r="I38" s="4">
        <f>IF($A38="","",IF(Screen_Input!S38&lt;&gt;"verified","",50))</f>
        <v/>
      </c>
      <c r="J38" s="10">
        <f>IF(OR($A38="",$D38&lt;0.6,$C38&lt;&gt;"ELIGIBLE"),"",ROUND(($E38*0.25+$F38*0.15+$G38*0.10+$H38*0.20+$I38*0.10+50*0.20),1))</f>
        <v/>
      </c>
      <c r="K38" s="11">
        <f>IF($J38="","",ROUND($D38*100,0))</f>
        <v/>
      </c>
      <c r="L38" s="4">
        <f>IF($J38="","",IF($J38&gt;=85,"STRONG",IF($J38&gt;=70,"POSITIVE",IF($J38&gt;=55,"WATCH",IF($J38&gt;=40,"WEAK","REJECT")))))</f>
        <v/>
      </c>
      <c r="M38" s="4">
        <f>IF($A38="","",IF($C38&lt;&gt;"ELIGIBLE","Needs verified source / data coverage",IF($D38&lt;0.8,"Provisional coverage","Screened")))</f>
        <v/>
      </c>
    </row>
    <row r="39">
      <c r="A39" s="4">
        <f>IF(Screen_Input!H39="","",Screen_Input!A39)</f>
        <v/>
      </c>
      <c r="B39" s="4">
        <f>IF(Screen_Input!H39="","",Screen_Input!B39)</f>
        <v/>
      </c>
      <c r="C39" s="9">
        <f>IF(Screen_Input!H39="","",IF(OR(Screen_Input!S39&lt;&gt;"verified",Screen_Input!H39=""),"INCOMPLETE","ELIGIBLE"))</f>
        <v/>
      </c>
      <c r="D39" s="4">
        <f>IF($A39="","",COUNT(Screen_Input!I39:Q39)/9)</f>
        <v/>
      </c>
      <c r="E39" s="4">
        <f>IF($A39="","",IF(Screen_Input!K39="","",MIN(100,MAX(0,Screen_Input!K39*100))))</f>
        <v/>
      </c>
      <c r="F39" s="4">
        <f>IF($A39="","",IF(Screen_Input!O39="","",MIN(100,MAX(0,Screen_Input!O39*100))))</f>
        <v/>
      </c>
      <c r="G39" s="4">
        <f>IF($A39="","",IF(Screen_Input!N39="","",MIN(100,MAX(0,100-Screen_Input!N39*20))))</f>
        <v/>
      </c>
      <c r="H39" s="4">
        <f>IF($A39="","",IF(Screen_Input!P39="","",MIN(100,MAX(0,100-Screen_Input!P39*3))))</f>
        <v/>
      </c>
      <c r="I39" s="4">
        <f>IF($A39="","",IF(Screen_Input!S39&lt;&gt;"verified","",50))</f>
        <v/>
      </c>
      <c r="J39" s="10">
        <f>IF(OR($A39="",$D39&lt;0.6,$C39&lt;&gt;"ELIGIBLE"),"",ROUND(($E39*0.25+$F39*0.15+$G39*0.10+$H39*0.20+$I39*0.10+50*0.20),1))</f>
        <v/>
      </c>
      <c r="K39" s="11">
        <f>IF($J39="","",ROUND($D39*100,0))</f>
        <v/>
      </c>
      <c r="L39" s="4">
        <f>IF($J39="","",IF($J39&gt;=85,"STRONG",IF($J39&gt;=70,"POSITIVE",IF($J39&gt;=55,"WATCH",IF($J39&gt;=40,"WEAK","REJECT")))))</f>
        <v/>
      </c>
      <c r="M39" s="4">
        <f>IF($A39="","",IF($C39&lt;&gt;"ELIGIBLE","Needs verified source / data coverage",IF($D39&lt;0.8,"Provisional coverage","Screened")))</f>
        <v/>
      </c>
    </row>
    <row r="40">
      <c r="A40" s="4">
        <f>IF(Screen_Input!H40="","",Screen_Input!A40)</f>
        <v/>
      </c>
      <c r="B40" s="4">
        <f>IF(Screen_Input!H40="","",Screen_Input!B40)</f>
        <v/>
      </c>
      <c r="C40" s="9">
        <f>IF(Screen_Input!H40="","",IF(OR(Screen_Input!S40&lt;&gt;"verified",Screen_Input!H40=""),"INCOMPLETE","ELIGIBLE"))</f>
        <v/>
      </c>
      <c r="D40" s="4">
        <f>IF($A40="","",COUNT(Screen_Input!I40:Q40)/9)</f>
        <v/>
      </c>
      <c r="E40" s="4">
        <f>IF($A40="","",IF(Screen_Input!K40="","",MIN(100,MAX(0,Screen_Input!K40*100))))</f>
        <v/>
      </c>
      <c r="F40" s="4">
        <f>IF($A40="","",IF(Screen_Input!O40="","",MIN(100,MAX(0,Screen_Input!O40*100))))</f>
        <v/>
      </c>
      <c r="G40" s="4">
        <f>IF($A40="","",IF(Screen_Input!N40="","",MIN(100,MAX(0,100-Screen_Input!N40*20))))</f>
        <v/>
      </c>
      <c r="H40" s="4">
        <f>IF($A40="","",IF(Screen_Input!P40="","",MIN(100,MAX(0,100-Screen_Input!P40*3))))</f>
        <v/>
      </c>
      <c r="I40" s="4">
        <f>IF($A40="","",IF(Screen_Input!S40&lt;&gt;"verified","",50))</f>
        <v/>
      </c>
      <c r="J40" s="10">
        <f>IF(OR($A40="",$D40&lt;0.6,$C40&lt;&gt;"ELIGIBLE"),"",ROUND(($E40*0.25+$F40*0.15+$G40*0.10+$H40*0.20+$I40*0.10+50*0.20),1))</f>
        <v/>
      </c>
      <c r="K40" s="11">
        <f>IF($J40="","",ROUND($D40*100,0))</f>
        <v/>
      </c>
      <c r="L40" s="4">
        <f>IF($J40="","",IF($J40&gt;=85,"STRONG",IF($J40&gt;=70,"POSITIVE",IF($J40&gt;=55,"WATCH",IF($J40&gt;=40,"WEAK","REJECT")))))</f>
        <v/>
      </c>
      <c r="M40" s="4">
        <f>IF($A40="","",IF($C40&lt;&gt;"ELIGIBLE","Needs verified source / data coverage",IF($D40&lt;0.8,"Provisional coverage","Screened")))</f>
        <v/>
      </c>
    </row>
    <row r="41">
      <c r="A41" s="4">
        <f>IF(Screen_Input!H41="","",Screen_Input!A41)</f>
        <v/>
      </c>
      <c r="B41" s="4">
        <f>IF(Screen_Input!H41="","",Screen_Input!B41)</f>
        <v/>
      </c>
      <c r="C41" s="9">
        <f>IF(Screen_Input!H41="","",IF(OR(Screen_Input!S41&lt;&gt;"verified",Screen_Input!H41=""),"INCOMPLETE","ELIGIBLE"))</f>
        <v/>
      </c>
      <c r="D41" s="4">
        <f>IF($A41="","",COUNT(Screen_Input!I41:Q41)/9)</f>
        <v/>
      </c>
      <c r="E41" s="4">
        <f>IF($A41="","",IF(Screen_Input!K41="","",MIN(100,MAX(0,Screen_Input!K41*100))))</f>
        <v/>
      </c>
      <c r="F41" s="4">
        <f>IF($A41="","",IF(Screen_Input!O41="","",MIN(100,MAX(0,Screen_Input!O41*100))))</f>
        <v/>
      </c>
      <c r="G41" s="4">
        <f>IF($A41="","",IF(Screen_Input!N41="","",MIN(100,MAX(0,100-Screen_Input!N41*20))))</f>
        <v/>
      </c>
      <c r="H41" s="4">
        <f>IF($A41="","",IF(Screen_Input!P41="","",MIN(100,MAX(0,100-Screen_Input!P41*3))))</f>
        <v/>
      </c>
      <c r="I41" s="4">
        <f>IF($A41="","",IF(Screen_Input!S41&lt;&gt;"verified","",50))</f>
        <v/>
      </c>
      <c r="J41" s="10">
        <f>IF(OR($A41="",$D41&lt;0.6,$C41&lt;&gt;"ELIGIBLE"),"",ROUND(($E41*0.25+$F41*0.15+$G41*0.10+$H41*0.20+$I41*0.10+50*0.20),1))</f>
        <v/>
      </c>
      <c r="K41" s="11">
        <f>IF($J41="","",ROUND($D41*100,0))</f>
        <v/>
      </c>
      <c r="L41" s="4">
        <f>IF($J41="","",IF($J41&gt;=85,"STRONG",IF($J41&gt;=70,"POSITIVE",IF($J41&gt;=55,"WATCH",IF($J41&gt;=40,"WEAK","REJECT")))))</f>
        <v/>
      </c>
      <c r="M41" s="4">
        <f>IF($A41="","",IF($C41&lt;&gt;"ELIGIBLE","Needs verified source / data coverage",IF($D41&lt;0.8,"Provisional coverage","Screened")))</f>
        <v/>
      </c>
    </row>
    <row r="42">
      <c r="A42" s="4">
        <f>IF(Screen_Input!H42="","",Screen_Input!A42)</f>
        <v/>
      </c>
      <c r="B42" s="4">
        <f>IF(Screen_Input!H42="","",Screen_Input!B42)</f>
        <v/>
      </c>
      <c r="C42" s="9">
        <f>IF(Screen_Input!H42="","",IF(OR(Screen_Input!S42&lt;&gt;"verified",Screen_Input!H42=""),"INCOMPLETE","ELIGIBLE"))</f>
        <v/>
      </c>
      <c r="D42" s="4">
        <f>IF($A42="","",COUNT(Screen_Input!I42:Q42)/9)</f>
        <v/>
      </c>
      <c r="E42" s="4">
        <f>IF($A42="","",IF(Screen_Input!K42="","",MIN(100,MAX(0,Screen_Input!K42*100))))</f>
        <v/>
      </c>
      <c r="F42" s="4">
        <f>IF($A42="","",IF(Screen_Input!O42="","",MIN(100,MAX(0,Screen_Input!O42*100))))</f>
        <v/>
      </c>
      <c r="G42" s="4">
        <f>IF($A42="","",IF(Screen_Input!N42="","",MIN(100,MAX(0,100-Screen_Input!N42*20))))</f>
        <v/>
      </c>
      <c r="H42" s="4">
        <f>IF($A42="","",IF(Screen_Input!P42="","",MIN(100,MAX(0,100-Screen_Input!P42*3))))</f>
        <v/>
      </c>
      <c r="I42" s="4">
        <f>IF($A42="","",IF(Screen_Input!S42&lt;&gt;"verified","",50))</f>
        <v/>
      </c>
      <c r="J42" s="10">
        <f>IF(OR($A42="",$D42&lt;0.6,$C42&lt;&gt;"ELIGIBLE"),"",ROUND(($E42*0.25+$F42*0.15+$G42*0.10+$H42*0.20+$I42*0.10+50*0.20),1))</f>
        <v/>
      </c>
      <c r="K42" s="11">
        <f>IF($J42="","",ROUND($D42*100,0))</f>
        <v/>
      </c>
      <c r="L42" s="4">
        <f>IF($J42="","",IF($J42&gt;=85,"STRONG",IF($J42&gt;=70,"POSITIVE",IF($J42&gt;=55,"WATCH",IF($J42&gt;=40,"WEAK","REJECT")))))</f>
        <v/>
      </c>
      <c r="M42" s="4">
        <f>IF($A42="","",IF($C42&lt;&gt;"ELIGIBLE","Needs verified source / data coverage",IF($D42&lt;0.8,"Provisional coverage","Screened")))</f>
        <v/>
      </c>
    </row>
    <row r="43">
      <c r="A43" s="4">
        <f>IF(Screen_Input!H43="","",Screen_Input!A43)</f>
        <v/>
      </c>
      <c r="B43" s="4">
        <f>IF(Screen_Input!H43="","",Screen_Input!B43)</f>
        <v/>
      </c>
      <c r="C43" s="9">
        <f>IF(Screen_Input!H43="","",IF(OR(Screen_Input!S43&lt;&gt;"verified",Screen_Input!H43=""),"INCOMPLETE","ELIGIBLE"))</f>
        <v/>
      </c>
      <c r="D43" s="4">
        <f>IF($A43="","",COUNT(Screen_Input!I43:Q43)/9)</f>
        <v/>
      </c>
      <c r="E43" s="4">
        <f>IF($A43="","",IF(Screen_Input!K43="","",MIN(100,MAX(0,Screen_Input!K43*100))))</f>
        <v/>
      </c>
      <c r="F43" s="4">
        <f>IF($A43="","",IF(Screen_Input!O43="","",MIN(100,MAX(0,Screen_Input!O43*100))))</f>
        <v/>
      </c>
      <c r="G43" s="4">
        <f>IF($A43="","",IF(Screen_Input!N43="","",MIN(100,MAX(0,100-Screen_Input!N43*20))))</f>
        <v/>
      </c>
      <c r="H43" s="4">
        <f>IF($A43="","",IF(Screen_Input!P43="","",MIN(100,MAX(0,100-Screen_Input!P43*3))))</f>
        <v/>
      </c>
      <c r="I43" s="4">
        <f>IF($A43="","",IF(Screen_Input!S43&lt;&gt;"verified","",50))</f>
        <v/>
      </c>
      <c r="J43" s="10">
        <f>IF(OR($A43="",$D43&lt;0.6,$C43&lt;&gt;"ELIGIBLE"),"",ROUND(($E43*0.25+$F43*0.15+$G43*0.10+$H43*0.20+$I43*0.10+50*0.20),1))</f>
        <v/>
      </c>
      <c r="K43" s="11">
        <f>IF($J43="","",ROUND($D43*100,0))</f>
        <v/>
      </c>
      <c r="L43" s="4">
        <f>IF($J43="","",IF($J43&gt;=85,"STRONG",IF($J43&gt;=70,"POSITIVE",IF($J43&gt;=55,"WATCH",IF($J43&gt;=40,"WEAK","REJECT")))))</f>
        <v/>
      </c>
      <c r="M43" s="4">
        <f>IF($A43="","",IF($C43&lt;&gt;"ELIGIBLE","Needs verified source / data coverage",IF($D43&lt;0.8,"Provisional coverage","Screened")))</f>
        <v/>
      </c>
    </row>
    <row r="44">
      <c r="A44" s="4">
        <f>IF(Screen_Input!H44="","",Screen_Input!A44)</f>
        <v/>
      </c>
      <c r="B44" s="4">
        <f>IF(Screen_Input!H44="","",Screen_Input!B44)</f>
        <v/>
      </c>
      <c r="C44" s="9">
        <f>IF(Screen_Input!H44="","",IF(OR(Screen_Input!S44&lt;&gt;"verified",Screen_Input!H44=""),"INCOMPLETE","ELIGIBLE"))</f>
        <v/>
      </c>
      <c r="D44" s="4">
        <f>IF($A44="","",COUNT(Screen_Input!I44:Q44)/9)</f>
        <v/>
      </c>
      <c r="E44" s="4">
        <f>IF($A44="","",IF(Screen_Input!K44="","",MIN(100,MAX(0,Screen_Input!K44*100))))</f>
        <v/>
      </c>
      <c r="F44" s="4">
        <f>IF($A44="","",IF(Screen_Input!O44="","",MIN(100,MAX(0,Screen_Input!O44*100))))</f>
        <v/>
      </c>
      <c r="G44" s="4">
        <f>IF($A44="","",IF(Screen_Input!N44="","",MIN(100,MAX(0,100-Screen_Input!N44*20))))</f>
        <v/>
      </c>
      <c r="H44" s="4">
        <f>IF($A44="","",IF(Screen_Input!P44="","",MIN(100,MAX(0,100-Screen_Input!P44*3))))</f>
        <v/>
      </c>
      <c r="I44" s="4">
        <f>IF($A44="","",IF(Screen_Input!S44&lt;&gt;"verified","",50))</f>
        <v/>
      </c>
      <c r="J44" s="10">
        <f>IF(OR($A44="",$D44&lt;0.6,$C44&lt;&gt;"ELIGIBLE"),"",ROUND(($E44*0.25+$F44*0.15+$G44*0.10+$H44*0.20+$I44*0.10+50*0.20),1))</f>
        <v/>
      </c>
      <c r="K44" s="11">
        <f>IF($J44="","",ROUND($D44*100,0))</f>
        <v/>
      </c>
      <c r="L44" s="4">
        <f>IF($J44="","",IF($J44&gt;=85,"STRONG",IF($J44&gt;=70,"POSITIVE",IF($J44&gt;=55,"WATCH",IF($J44&gt;=40,"WEAK","REJECT")))))</f>
        <v/>
      </c>
      <c r="M44" s="4">
        <f>IF($A44="","",IF($C44&lt;&gt;"ELIGIBLE","Needs verified source / data coverage",IF($D44&lt;0.8,"Provisional coverage","Screened")))</f>
        <v/>
      </c>
    </row>
    <row r="45">
      <c r="A45" s="4">
        <f>IF(Screen_Input!H45="","",Screen_Input!A45)</f>
        <v/>
      </c>
      <c r="B45" s="4">
        <f>IF(Screen_Input!H45="","",Screen_Input!B45)</f>
        <v/>
      </c>
      <c r="C45" s="9">
        <f>IF(Screen_Input!H45="","",IF(OR(Screen_Input!S45&lt;&gt;"verified",Screen_Input!H45=""),"INCOMPLETE","ELIGIBLE"))</f>
        <v/>
      </c>
      <c r="D45" s="4">
        <f>IF($A45="","",COUNT(Screen_Input!I45:Q45)/9)</f>
        <v/>
      </c>
      <c r="E45" s="4">
        <f>IF($A45="","",IF(Screen_Input!K45="","",MIN(100,MAX(0,Screen_Input!K45*100))))</f>
        <v/>
      </c>
      <c r="F45" s="4">
        <f>IF($A45="","",IF(Screen_Input!O45="","",MIN(100,MAX(0,Screen_Input!O45*100))))</f>
        <v/>
      </c>
      <c r="G45" s="4">
        <f>IF($A45="","",IF(Screen_Input!N45="","",MIN(100,MAX(0,100-Screen_Input!N45*20))))</f>
        <v/>
      </c>
      <c r="H45" s="4">
        <f>IF($A45="","",IF(Screen_Input!P45="","",MIN(100,MAX(0,100-Screen_Input!P45*3))))</f>
        <v/>
      </c>
      <c r="I45" s="4">
        <f>IF($A45="","",IF(Screen_Input!S45&lt;&gt;"verified","",50))</f>
        <v/>
      </c>
      <c r="J45" s="10">
        <f>IF(OR($A45="",$D45&lt;0.6,$C45&lt;&gt;"ELIGIBLE"),"",ROUND(($E45*0.25+$F45*0.15+$G45*0.10+$H45*0.20+$I45*0.10+50*0.20),1))</f>
        <v/>
      </c>
      <c r="K45" s="11">
        <f>IF($J45="","",ROUND($D45*100,0))</f>
        <v/>
      </c>
      <c r="L45" s="4">
        <f>IF($J45="","",IF($J45&gt;=85,"STRONG",IF($J45&gt;=70,"POSITIVE",IF($J45&gt;=55,"WATCH",IF($J45&gt;=40,"WEAK","REJECT")))))</f>
        <v/>
      </c>
      <c r="M45" s="4">
        <f>IF($A45="","",IF($C45&lt;&gt;"ELIGIBLE","Needs verified source / data coverage",IF($D45&lt;0.8,"Provisional coverage","Screened")))</f>
        <v/>
      </c>
    </row>
    <row r="46">
      <c r="A46" s="4">
        <f>IF(Screen_Input!H46="","",Screen_Input!A46)</f>
        <v/>
      </c>
      <c r="B46" s="4">
        <f>IF(Screen_Input!H46="","",Screen_Input!B46)</f>
        <v/>
      </c>
      <c r="C46" s="9">
        <f>IF(Screen_Input!H46="","",IF(OR(Screen_Input!S46&lt;&gt;"verified",Screen_Input!H46=""),"INCOMPLETE","ELIGIBLE"))</f>
        <v/>
      </c>
      <c r="D46" s="4">
        <f>IF($A46="","",COUNT(Screen_Input!I46:Q46)/9)</f>
        <v/>
      </c>
      <c r="E46" s="4">
        <f>IF($A46="","",IF(Screen_Input!K46="","",MIN(100,MAX(0,Screen_Input!K46*100))))</f>
        <v/>
      </c>
      <c r="F46" s="4">
        <f>IF($A46="","",IF(Screen_Input!O46="","",MIN(100,MAX(0,Screen_Input!O46*100))))</f>
        <v/>
      </c>
      <c r="G46" s="4">
        <f>IF($A46="","",IF(Screen_Input!N46="","",MIN(100,MAX(0,100-Screen_Input!N46*20))))</f>
        <v/>
      </c>
      <c r="H46" s="4">
        <f>IF($A46="","",IF(Screen_Input!P46="","",MIN(100,MAX(0,100-Screen_Input!P46*3))))</f>
        <v/>
      </c>
      <c r="I46" s="4">
        <f>IF($A46="","",IF(Screen_Input!S46&lt;&gt;"verified","",50))</f>
        <v/>
      </c>
      <c r="J46" s="10">
        <f>IF(OR($A46="",$D46&lt;0.6,$C46&lt;&gt;"ELIGIBLE"),"",ROUND(($E46*0.25+$F46*0.15+$G46*0.10+$H46*0.20+$I46*0.10+50*0.20),1))</f>
        <v/>
      </c>
      <c r="K46" s="11">
        <f>IF($J46="","",ROUND($D46*100,0))</f>
        <v/>
      </c>
      <c r="L46" s="4">
        <f>IF($J46="","",IF($J46&gt;=85,"STRONG",IF($J46&gt;=70,"POSITIVE",IF($J46&gt;=55,"WATCH",IF($J46&gt;=40,"WEAK","REJECT")))))</f>
        <v/>
      </c>
      <c r="M46" s="4">
        <f>IF($A46="","",IF($C46&lt;&gt;"ELIGIBLE","Needs verified source / data coverage",IF($D46&lt;0.8,"Provisional coverage","Screened")))</f>
        <v/>
      </c>
    </row>
    <row r="47">
      <c r="A47" s="4">
        <f>IF(Screen_Input!H47="","",Screen_Input!A47)</f>
        <v/>
      </c>
      <c r="B47" s="4">
        <f>IF(Screen_Input!H47="","",Screen_Input!B47)</f>
        <v/>
      </c>
      <c r="C47" s="9">
        <f>IF(Screen_Input!H47="","",IF(OR(Screen_Input!S47&lt;&gt;"verified",Screen_Input!H47=""),"INCOMPLETE","ELIGIBLE"))</f>
        <v/>
      </c>
      <c r="D47" s="4">
        <f>IF($A47="","",COUNT(Screen_Input!I47:Q47)/9)</f>
        <v/>
      </c>
      <c r="E47" s="4">
        <f>IF($A47="","",IF(Screen_Input!K47="","",MIN(100,MAX(0,Screen_Input!K47*100))))</f>
        <v/>
      </c>
      <c r="F47" s="4">
        <f>IF($A47="","",IF(Screen_Input!O47="","",MIN(100,MAX(0,Screen_Input!O47*100))))</f>
        <v/>
      </c>
      <c r="G47" s="4">
        <f>IF($A47="","",IF(Screen_Input!N47="","",MIN(100,MAX(0,100-Screen_Input!N47*20))))</f>
        <v/>
      </c>
      <c r="H47" s="4">
        <f>IF($A47="","",IF(Screen_Input!P47="","",MIN(100,MAX(0,100-Screen_Input!P47*3))))</f>
        <v/>
      </c>
      <c r="I47" s="4">
        <f>IF($A47="","",IF(Screen_Input!S47&lt;&gt;"verified","",50))</f>
        <v/>
      </c>
      <c r="J47" s="10">
        <f>IF(OR($A47="",$D47&lt;0.6,$C47&lt;&gt;"ELIGIBLE"),"",ROUND(($E47*0.25+$F47*0.15+$G47*0.10+$H47*0.20+$I47*0.10+50*0.20),1))</f>
        <v/>
      </c>
      <c r="K47" s="11">
        <f>IF($J47="","",ROUND($D47*100,0))</f>
        <v/>
      </c>
      <c r="L47" s="4">
        <f>IF($J47="","",IF($J47&gt;=85,"STRONG",IF($J47&gt;=70,"POSITIVE",IF($J47&gt;=55,"WATCH",IF($J47&gt;=40,"WEAK","REJECT")))))</f>
        <v/>
      </c>
      <c r="M47" s="4">
        <f>IF($A47="","",IF($C47&lt;&gt;"ELIGIBLE","Needs verified source / data coverage",IF($D47&lt;0.8,"Provisional coverage","Screened")))</f>
        <v/>
      </c>
    </row>
    <row r="48">
      <c r="A48" s="4">
        <f>IF(Screen_Input!H48="","",Screen_Input!A48)</f>
        <v/>
      </c>
      <c r="B48" s="4">
        <f>IF(Screen_Input!H48="","",Screen_Input!B48)</f>
        <v/>
      </c>
      <c r="C48" s="9">
        <f>IF(Screen_Input!H48="","",IF(OR(Screen_Input!S48&lt;&gt;"verified",Screen_Input!H48=""),"INCOMPLETE","ELIGIBLE"))</f>
        <v/>
      </c>
      <c r="D48" s="4">
        <f>IF($A48="","",COUNT(Screen_Input!I48:Q48)/9)</f>
        <v/>
      </c>
      <c r="E48" s="4">
        <f>IF($A48="","",IF(Screen_Input!K48="","",MIN(100,MAX(0,Screen_Input!K48*100))))</f>
        <v/>
      </c>
      <c r="F48" s="4">
        <f>IF($A48="","",IF(Screen_Input!O48="","",MIN(100,MAX(0,Screen_Input!O48*100))))</f>
        <v/>
      </c>
      <c r="G48" s="4">
        <f>IF($A48="","",IF(Screen_Input!N48="","",MIN(100,MAX(0,100-Screen_Input!N48*20))))</f>
        <v/>
      </c>
      <c r="H48" s="4">
        <f>IF($A48="","",IF(Screen_Input!P48="","",MIN(100,MAX(0,100-Screen_Input!P48*3))))</f>
        <v/>
      </c>
      <c r="I48" s="4">
        <f>IF($A48="","",IF(Screen_Input!S48&lt;&gt;"verified","",50))</f>
        <v/>
      </c>
      <c r="J48" s="10">
        <f>IF(OR($A48="",$D48&lt;0.6,$C48&lt;&gt;"ELIGIBLE"),"",ROUND(($E48*0.25+$F48*0.15+$G48*0.10+$H48*0.20+$I48*0.10+50*0.20),1))</f>
        <v/>
      </c>
      <c r="K48" s="11">
        <f>IF($J48="","",ROUND($D48*100,0))</f>
        <v/>
      </c>
      <c r="L48" s="4">
        <f>IF($J48="","",IF($J48&gt;=85,"STRONG",IF($J48&gt;=70,"POSITIVE",IF($J48&gt;=55,"WATCH",IF($J48&gt;=40,"WEAK","REJECT")))))</f>
        <v/>
      </c>
      <c r="M48" s="4">
        <f>IF($A48="","",IF($C48&lt;&gt;"ELIGIBLE","Needs verified source / data coverage",IF($D48&lt;0.8,"Provisional coverage","Screened")))</f>
        <v/>
      </c>
    </row>
    <row r="49">
      <c r="A49" s="4">
        <f>IF(Screen_Input!H49="","",Screen_Input!A49)</f>
        <v/>
      </c>
      <c r="B49" s="4">
        <f>IF(Screen_Input!H49="","",Screen_Input!B49)</f>
        <v/>
      </c>
      <c r="C49" s="9">
        <f>IF(Screen_Input!H49="","",IF(OR(Screen_Input!S49&lt;&gt;"verified",Screen_Input!H49=""),"INCOMPLETE","ELIGIBLE"))</f>
        <v/>
      </c>
      <c r="D49" s="4">
        <f>IF($A49="","",COUNT(Screen_Input!I49:Q49)/9)</f>
        <v/>
      </c>
      <c r="E49" s="4">
        <f>IF($A49="","",IF(Screen_Input!K49="","",MIN(100,MAX(0,Screen_Input!K49*100))))</f>
        <v/>
      </c>
      <c r="F49" s="4">
        <f>IF($A49="","",IF(Screen_Input!O49="","",MIN(100,MAX(0,Screen_Input!O49*100))))</f>
        <v/>
      </c>
      <c r="G49" s="4">
        <f>IF($A49="","",IF(Screen_Input!N49="","",MIN(100,MAX(0,100-Screen_Input!N49*20))))</f>
        <v/>
      </c>
      <c r="H49" s="4">
        <f>IF($A49="","",IF(Screen_Input!P49="","",MIN(100,MAX(0,100-Screen_Input!P49*3))))</f>
        <v/>
      </c>
      <c r="I49" s="4">
        <f>IF($A49="","",IF(Screen_Input!S49&lt;&gt;"verified","",50))</f>
        <v/>
      </c>
      <c r="J49" s="10">
        <f>IF(OR($A49="",$D49&lt;0.6,$C49&lt;&gt;"ELIGIBLE"),"",ROUND(($E49*0.25+$F49*0.15+$G49*0.10+$H49*0.20+$I49*0.10+50*0.20),1))</f>
        <v/>
      </c>
      <c r="K49" s="11">
        <f>IF($J49="","",ROUND($D49*100,0))</f>
        <v/>
      </c>
      <c r="L49" s="4">
        <f>IF($J49="","",IF($J49&gt;=85,"STRONG",IF($J49&gt;=70,"POSITIVE",IF($J49&gt;=55,"WATCH",IF($J49&gt;=40,"WEAK","REJECT")))))</f>
        <v/>
      </c>
      <c r="M49" s="4">
        <f>IF($A49="","",IF($C49&lt;&gt;"ELIGIBLE","Needs verified source / data coverage",IF($D49&lt;0.8,"Provisional coverage","Screened")))</f>
        <v/>
      </c>
    </row>
    <row r="50">
      <c r="A50" s="4">
        <f>IF(Screen_Input!H50="","",Screen_Input!A50)</f>
        <v/>
      </c>
      <c r="B50" s="4">
        <f>IF(Screen_Input!H50="","",Screen_Input!B50)</f>
        <v/>
      </c>
      <c r="C50" s="9">
        <f>IF(Screen_Input!H50="","",IF(OR(Screen_Input!S50&lt;&gt;"verified",Screen_Input!H50=""),"INCOMPLETE","ELIGIBLE"))</f>
        <v/>
      </c>
      <c r="D50" s="4">
        <f>IF($A50="","",COUNT(Screen_Input!I50:Q50)/9)</f>
        <v/>
      </c>
      <c r="E50" s="4">
        <f>IF($A50="","",IF(Screen_Input!K50="","",MIN(100,MAX(0,Screen_Input!K50*100))))</f>
        <v/>
      </c>
      <c r="F50" s="4">
        <f>IF($A50="","",IF(Screen_Input!O50="","",MIN(100,MAX(0,Screen_Input!O50*100))))</f>
        <v/>
      </c>
      <c r="G50" s="4">
        <f>IF($A50="","",IF(Screen_Input!N50="","",MIN(100,MAX(0,100-Screen_Input!N50*20))))</f>
        <v/>
      </c>
      <c r="H50" s="4">
        <f>IF($A50="","",IF(Screen_Input!P50="","",MIN(100,MAX(0,100-Screen_Input!P50*3))))</f>
        <v/>
      </c>
      <c r="I50" s="4">
        <f>IF($A50="","",IF(Screen_Input!S50&lt;&gt;"verified","",50))</f>
        <v/>
      </c>
      <c r="J50" s="10">
        <f>IF(OR($A50="",$D50&lt;0.6,$C50&lt;&gt;"ELIGIBLE"),"",ROUND(($E50*0.25+$F50*0.15+$G50*0.10+$H50*0.20+$I50*0.10+50*0.20),1))</f>
        <v/>
      </c>
      <c r="K50" s="11">
        <f>IF($J50="","",ROUND($D50*100,0))</f>
        <v/>
      </c>
      <c r="L50" s="4">
        <f>IF($J50="","",IF($J50&gt;=85,"STRONG",IF($J50&gt;=70,"POSITIVE",IF($J50&gt;=55,"WATCH",IF($J50&gt;=40,"WEAK","REJECT")))))</f>
        <v/>
      </c>
      <c r="M50" s="4">
        <f>IF($A50="","",IF($C50&lt;&gt;"ELIGIBLE","Needs verified source / data coverage",IF($D50&lt;0.8,"Provisional coverage","Screened")))</f>
        <v/>
      </c>
    </row>
    <row r="51">
      <c r="A51" s="4">
        <f>IF(Screen_Input!H51="","",Screen_Input!A51)</f>
        <v/>
      </c>
      <c r="B51" s="4">
        <f>IF(Screen_Input!H51="","",Screen_Input!B51)</f>
        <v/>
      </c>
      <c r="C51" s="9">
        <f>IF(Screen_Input!H51="","",IF(OR(Screen_Input!S51&lt;&gt;"verified",Screen_Input!H51=""),"INCOMPLETE","ELIGIBLE"))</f>
        <v/>
      </c>
      <c r="D51" s="4">
        <f>IF($A51="","",COUNT(Screen_Input!I51:Q51)/9)</f>
        <v/>
      </c>
      <c r="E51" s="4">
        <f>IF($A51="","",IF(Screen_Input!K51="","",MIN(100,MAX(0,Screen_Input!K51*100))))</f>
        <v/>
      </c>
      <c r="F51" s="4">
        <f>IF($A51="","",IF(Screen_Input!O51="","",MIN(100,MAX(0,Screen_Input!O51*100))))</f>
        <v/>
      </c>
      <c r="G51" s="4">
        <f>IF($A51="","",IF(Screen_Input!N51="","",MIN(100,MAX(0,100-Screen_Input!N51*20))))</f>
        <v/>
      </c>
      <c r="H51" s="4">
        <f>IF($A51="","",IF(Screen_Input!P51="","",MIN(100,MAX(0,100-Screen_Input!P51*3))))</f>
        <v/>
      </c>
      <c r="I51" s="4">
        <f>IF($A51="","",IF(Screen_Input!S51&lt;&gt;"verified","",50))</f>
        <v/>
      </c>
      <c r="J51" s="10">
        <f>IF(OR($A51="",$D51&lt;0.6,$C51&lt;&gt;"ELIGIBLE"),"",ROUND(($E51*0.25+$F51*0.15+$G51*0.10+$H51*0.20+$I51*0.10+50*0.20),1))</f>
        <v/>
      </c>
      <c r="K51" s="11">
        <f>IF($J51="","",ROUND($D51*100,0))</f>
        <v/>
      </c>
      <c r="L51" s="4">
        <f>IF($J51="","",IF($J51&gt;=85,"STRONG",IF($J51&gt;=70,"POSITIVE",IF($J51&gt;=55,"WATCH",IF($J51&gt;=40,"WEAK","REJECT")))))</f>
        <v/>
      </c>
      <c r="M51" s="4">
        <f>IF($A51="","",IF($C51&lt;&gt;"ELIGIBLE","Needs verified source / data coverage",IF($D51&lt;0.8,"Provisional coverage","Screened")))</f>
        <v/>
      </c>
    </row>
    <row r="52">
      <c r="A52" s="4">
        <f>IF(Screen_Input!H52="","",Screen_Input!A52)</f>
        <v/>
      </c>
      <c r="B52" s="4">
        <f>IF(Screen_Input!H52="","",Screen_Input!B52)</f>
        <v/>
      </c>
      <c r="C52" s="9">
        <f>IF(Screen_Input!H52="","",IF(OR(Screen_Input!S52&lt;&gt;"verified",Screen_Input!H52=""),"INCOMPLETE","ELIGIBLE"))</f>
        <v/>
      </c>
      <c r="D52" s="4">
        <f>IF($A52="","",COUNT(Screen_Input!I52:Q52)/9)</f>
        <v/>
      </c>
      <c r="E52" s="4">
        <f>IF($A52="","",IF(Screen_Input!K52="","",MIN(100,MAX(0,Screen_Input!K52*100))))</f>
        <v/>
      </c>
      <c r="F52" s="4">
        <f>IF($A52="","",IF(Screen_Input!O52="","",MIN(100,MAX(0,Screen_Input!O52*100))))</f>
        <v/>
      </c>
      <c r="G52" s="4">
        <f>IF($A52="","",IF(Screen_Input!N52="","",MIN(100,MAX(0,100-Screen_Input!N52*20))))</f>
        <v/>
      </c>
      <c r="H52" s="4">
        <f>IF($A52="","",IF(Screen_Input!P52="","",MIN(100,MAX(0,100-Screen_Input!P52*3))))</f>
        <v/>
      </c>
      <c r="I52" s="4">
        <f>IF($A52="","",IF(Screen_Input!S52&lt;&gt;"verified","",50))</f>
        <v/>
      </c>
      <c r="J52" s="10">
        <f>IF(OR($A52="",$D52&lt;0.6,$C52&lt;&gt;"ELIGIBLE"),"",ROUND(($E52*0.25+$F52*0.15+$G52*0.10+$H52*0.20+$I52*0.10+50*0.20),1))</f>
        <v/>
      </c>
      <c r="K52" s="11">
        <f>IF($J52="","",ROUND($D52*100,0))</f>
        <v/>
      </c>
      <c r="L52" s="4">
        <f>IF($J52="","",IF($J52&gt;=85,"STRONG",IF($J52&gt;=70,"POSITIVE",IF($J52&gt;=55,"WATCH",IF($J52&gt;=40,"WEAK","REJECT")))))</f>
        <v/>
      </c>
      <c r="M52" s="4">
        <f>IF($A52="","",IF($C52&lt;&gt;"ELIGIBLE","Needs verified source / data coverage",IF($D52&lt;0.8,"Provisional coverage","Screened")))</f>
        <v/>
      </c>
    </row>
    <row r="53">
      <c r="A53" s="4">
        <f>IF(Screen_Input!H53="","",Screen_Input!A53)</f>
        <v/>
      </c>
      <c r="B53" s="4">
        <f>IF(Screen_Input!H53="","",Screen_Input!B53)</f>
        <v/>
      </c>
      <c r="C53" s="9">
        <f>IF(Screen_Input!H53="","",IF(OR(Screen_Input!S53&lt;&gt;"verified",Screen_Input!H53=""),"INCOMPLETE","ELIGIBLE"))</f>
        <v/>
      </c>
      <c r="D53" s="4">
        <f>IF($A53="","",COUNT(Screen_Input!I53:Q53)/9)</f>
        <v/>
      </c>
      <c r="E53" s="4">
        <f>IF($A53="","",IF(Screen_Input!K53="","",MIN(100,MAX(0,Screen_Input!K53*100))))</f>
        <v/>
      </c>
      <c r="F53" s="4">
        <f>IF($A53="","",IF(Screen_Input!O53="","",MIN(100,MAX(0,Screen_Input!O53*100))))</f>
        <v/>
      </c>
      <c r="G53" s="4">
        <f>IF($A53="","",IF(Screen_Input!N53="","",MIN(100,MAX(0,100-Screen_Input!N53*20))))</f>
        <v/>
      </c>
      <c r="H53" s="4">
        <f>IF($A53="","",IF(Screen_Input!P53="","",MIN(100,MAX(0,100-Screen_Input!P53*3))))</f>
        <v/>
      </c>
      <c r="I53" s="4">
        <f>IF($A53="","",IF(Screen_Input!S53&lt;&gt;"verified","",50))</f>
        <v/>
      </c>
      <c r="J53" s="10">
        <f>IF(OR($A53="",$D53&lt;0.6,$C53&lt;&gt;"ELIGIBLE"),"",ROUND(($E53*0.25+$F53*0.15+$G53*0.10+$H53*0.20+$I53*0.10+50*0.20),1))</f>
        <v/>
      </c>
      <c r="K53" s="11">
        <f>IF($J53="","",ROUND($D53*100,0))</f>
        <v/>
      </c>
      <c r="L53" s="4">
        <f>IF($J53="","",IF($J53&gt;=85,"STRONG",IF($J53&gt;=70,"POSITIVE",IF($J53&gt;=55,"WATCH",IF($J53&gt;=40,"WEAK","REJECT")))))</f>
        <v/>
      </c>
      <c r="M53" s="4">
        <f>IF($A53="","",IF($C53&lt;&gt;"ELIGIBLE","Needs verified source / data coverage",IF($D53&lt;0.8,"Provisional coverage","Screened")))</f>
        <v/>
      </c>
    </row>
    <row r="54">
      <c r="A54" s="4">
        <f>IF(Screen_Input!H54="","",Screen_Input!A54)</f>
        <v/>
      </c>
      <c r="B54" s="4">
        <f>IF(Screen_Input!H54="","",Screen_Input!B54)</f>
        <v/>
      </c>
      <c r="C54" s="9">
        <f>IF(Screen_Input!H54="","",IF(OR(Screen_Input!S54&lt;&gt;"verified",Screen_Input!H54=""),"INCOMPLETE","ELIGIBLE"))</f>
        <v/>
      </c>
      <c r="D54" s="4">
        <f>IF($A54="","",COUNT(Screen_Input!I54:Q54)/9)</f>
        <v/>
      </c>
      <c r="E54" s="4">
        <f>IF($A54="","",IF(Screen_Input!K54="","",MIN(100,MAX(0,Screen_Input!K54*100))))</f>
        <v/>
      </c>
      <c r="F54" s="4">
        <f>IF($A54="","",IF(Screen_Input!O54="","",MIN(100,MAX(0,Screen_Input!O54*100))))</f>
        <v/>
      </c>
      <c r="G54" s="4">
        <f>IF($A54="","",IF(Screen_Input!N54="","",MIN(100,MAX(0,100-Screen_Input!N54*20))))</f>
        <v/>
      </c>
      <c r="H54" s="4">
        <f>IF($A54="","",IF(Screen_Input!P54="","",MIN(100,MAX(0,100-Screen_Input!P54*3))))</f>
        <v/>
      </c>
      <c r="I54" s="4">
        <f>IF($A54="","",IF(Screen_Input!S54&lt;&gt;"verified","",50))</f>
        <v/>
      </c>
      <c r="J54" s="10">
        <f>IF(OR($A54="",$D54&lt;0.6,$C54&lt;&gt;"ELIGIBLE"),"",ROUND(($E54*0.25+$F54*0.15+$G54*0.10+$H54*0.20+$I54*0.10+50*0.20),1))</f>
        <v/>
      </c>
      <c r="K54" s="11">
        <f>IF($J54="","",ROUND($D54*100,0))</f>
        <v/>
      </c>
      <c r="L54" s="4">
        <f>IF($J54="","",IF($J54&gt;=85,"STRONG",IF($J54&gt;=70,"POSITIVE",IF($J54&gt;=55,"WATCH",IF($J54&gt;=40,"WEAK","REJECT")))))</f>
        <v/>
      </c>
      <c r="M54" s="4">
        <f>IF($A54="","",IF($C54&lt;&gt;"ELIGIBLE","Needs verified source / data coverage",IF($D54&lt;0.8,"Provisional coverage","Screened")))</f>
        <v/>
      </c>
    </row>
    <row r="55">
      <c r="A55" s="4">
        <f>IF(Screen_Input!H55="","",Screen_Input!A55)</f>
        <v/>
      </c>
      <c r="B55" s="4">
        <f>IF(Screen_Input!H55="","",Screen_Input!B55)</f>
        <v/>
      </c>
      <c r="C55" s="9">
        <f>IF(Screen_Input!H55="","",IF(OR(Screen_Input!S55&lt;&gt;"verified",Screen_Input!H55=""),"INCOMPLETE","ELIGIBLE"))</f>
        <v/>
      </c>
      <c r="D55" s="4">
        <f>IF($A55="","",COUNT(Screen_Input!I55:Q55)/9)</f>
        <v/>
      </c>
      <c r="E55" s="4">
        <f>IF($A55="","",IF(Screen_Input!K55="","",MIN(100,MAX(0,Screen_Input!K55*100))))</f>
        <v/>
      </c>
      <c r="F55" s="4">
        <f>IF($A55="","",IF(Screen_Input!O55="","",MIN(100,MAX(0,Screen_Input!O55*100))))</f>
        <v/>
      </c>
      <c r="G55" s="4">
        <f>IF($A55="","",IF(Screen_Input!N55="","",MIN(100,MAX(0,100-Screen_Input!N55*20))))</f>
        <v/>
      </c>
      <c r="H55" s="4">
        <f>IF($A55="","",IF(Screen_Input!P55="","",MIN(100,MAX(0,100-Screen_Input!P55*3))))</f>
        <v/>
      </c>
      <c r="I55" s="4">
        <f>IF($A55="","",IF(Screen_Input!S55&lt;&gt;"verified","",50))</f>
        <v/>
      </c>
      <c r="J55" s="10">
        <f>IF(OR($A55="",$D55&lt;0.6,$C55&lt;&gt;"ELIGIBLE"),"",ROUND(($E55*0.25+$F55*0.15+$G55*0.10+$H55*0.20+$I55*0.10+50*0.20),1))</f>
        <v/>
      </c>
      <c r="K55" s="11">
        <f>IF($J55="","",ROUND($D55*100,0))</f>
        <v/>
      </c>
      <c r="L55" s="4">
        <f>IF($J55="","",IF($J55&gt;=85,"STRONG",IF($J55&gt;=70,"POSITIVE",IF($J55&gt;=55,"WATCH",IF($J55&gt;=40,"WEAK","REJECT")))))</f>
        <v/>
      </c>
      <c r="M55" s="4">
        <f>IF($A55="","",IF($C55&lt;&gt;"ELIGIBLE","Needs verified source / data coverage",IF($D55&lt;0.8,"Provisional coverage","Screened")))</f>
        <v/>
      </c>
    </row>
    <row r="56">
      <c r="A56" s="4">
        <f>IF(Screen_Input!H56="","",Screen_Input!A56)</f>
        <v/>
      </c>
      <c r="B56" s="4">
        <f>IF(Screen_Input!H56="","",Screen_Input!B56)</f>
        <v/>
      </c>
      <c r="C56" s="9">
        <f>IF(Screen_Input!H56="","",IF(OR(Screen_Input!S56&lt;&gt;"verified",Screen_Input!H56=""),"INCOMPLETE","ELIGIBLE"))</f>
        <v/>
      </c>
      <c r="D56" s="4">
        <f>IF($A56="","",COUNT(Screen_Input!I56:Q56)/9)</f>
        <v/>
      </c>
      <c r="E56" s="4">
        <f>IF($A56="","",IF(Screen_Input!K56="","",MIN(100,MAX(0,Screen_Input!K56*100))))</f>
        <v/>
      </c>
      <c r="F56" s="4">
        <f>IF($A56="","",IF(Screen_Input!O56="","",MIN(100,MAX(0,Screen_Input!O56*100))))</f>
        <v/>
      </c>
      <c r="G56" s="4">
        <f>IF($A56="","",IF(Screen_Input!N56="","",MIN(100,MAX(0,100-Screen_Input!N56*20))))</f>
        <v/>
      </c>
      <c r="H56" s="4">
        <f>IF($A56="","",IF(Screen_Input!P56="","",MIN(100,MAX(0,100-Screen_Input!P56*3))))</f>
        <v/>
      </c>
      <c r="I56" s="4">
        <f>IF($A56="","",IF(Screen_Input!S56&lt;&gt;"verified","",50))</f>
        <v/>
      </c>
      <c r="J56" s="10">
        <f>IF(OR($A56="",$D56&lt;0.6,$C56&lt;&gt;"ELIGIBLE"),"",ROUND(($E56*0.25+$F56*0.15+$G56*0.10+$H56*0.20+$I56*0.10+50*0.20),1))</f>
        <v/>
      </c>
      <c r="K56" s="11">
        <f>IF($J56="","",ROUND($D56*100,0))</f>
        <v/>
      </c>
      <c r="L56" s="4">
        <f>IF($J56="","",IF($J56&gt;=85,"STRONG",IF($J56&gt;=70,"POSITIVE",IF($J56&gt;=55,"WATCH",IF($J56&gt;=40,"WEAK","REJECT")))))</f>
        <v/>
      </c>
      <c r="M56" s="4">
        <f>IF($A56="","",IF($C56&lt;&gt;"ELIGIBLE","Needs verified source / data coverage",IF($D56&lt;0.8,"Provisional coverage","Screened")))</f>
        <v/>
      </c>
    </row>
    <row r="57">
      <c r="A57" s="4">
        <f>IF(Screen_Input!H57="","",Screen_Input!A57)</f>
        <v/>
      </c>
      <c r="B57" s="4">
        <f>IF(Screen_Input!H57="","",Screen_Input!B57)</f>
        <v/>
      </c>
      <c r="C57" s="9">
        <f>IF(Screen_Input!H57="","",IF(OR(Screen_Input!S57&lt;&gt;"verified",Screen_Input!H57=""),"INCOMPLETE","ELIGIBLE"))</f>
        <v/>
      </c>
      <c r="D57" s="4">
        <f>IF($A57="","",COUNT(Screen_Input!I57:Q57)/9)</f>
        <v/>
      </c>
      <c r="E57" s="4">
        <f>IF($A57="","",IF(Screen_Input!K57="","",MIN(100,MAX(0,Screen_Input!K57*100))))</f>
        <v/>
      </c>
      <c r="F57" s="4">
        <f>IF($A57="","",IF(Screen_Input!O57="","",MIN(100,MAX(0,Screen_Input!O57*100))))</f>
        <v/>
      </c>
      <c r="G57" s="4">
        <f>IF($A57="","",IF(Screen_Input!N57="","",MIN(100,MAX(0,100-Screen_Input!N57*20))))</f>
        <v/>
      </c>
      <c r="H57" s="4">
        <f>IF($A57="","",IF(Screen_Input!P57="","",MIN(100,MAX(0,100-Screen_Input!P57*3))))</f>
        <v/>
      </c>
      <c r="I57" s="4">
        <f>IF($A57="","",IF(Screen_Input!S57&lt;&gt;"verified","",50))</f>
        <v/>
      </c>
      <c r="J57" s="10">
        <f>IF(OR($A57="",$D57&lt;0.6,$C57&lt;&gt;"ELIGIBLE"),"",ROUND(($E57*0.25+$F57*0.15+$G57*0.10+$H57*0.20+$I57*0.10+50*0.20),1))</f>
        <v/>
      </c>
      <c r="K57" s="11">
        <f>IF($J57="","",ROUND($D57*100,0))</f>
        <v/>
      </c>
      <c r="L57" s="4">
        <f>IF($J57="","",IF($J57&gt;=85,"STRONG",IF($J57&gt;=70,"POSITIVE",IF($J57&gt;=55,"WATCH",IF($J57&gt;=40,"WEAK","REJECT")))))</f>
        <v/>
      </c>
      <c r="M57" s="4">
        <f>IF($A57="","",IF($C57&lt;&gt;"ELIGIBLE","Needs verified source / data coverage",IF($D57&lt;0.8,"Provisional coverage","Screened")))</f>
        <v/>
      </c>
    </row>
    <row r="58">
      <c r="A58" s="4">
        <f>IF(Screen_Input!H58="","",Screen_Input!A58)</f>
        <v/>
      </c>
      <c r="B58" s="4">
        <f>IF(Screen_Input!H58="","",Screen_Input!B58)</f>
        <v/>
      </c>
      <c r="C58" s="9">
        <f>IF(Screen_Input!H58="","",IF(OR(Screen_Input!S58&lt;&gt;"verified",Screen_Input!H58=""),"INCOMPLETE","ELIGIBLE"))</f>
        <v/>
      </c>
      <c r="D58" s="4">
        <f>IF($A58="","",COUNT(Screen_Input!I58:Q58)/9)</f>
        <v/>
      </c>
      <c r="E58" s="4">
        <f>IF($A58="","",IF(Screen_Input!K58="","",MIN(100,MAX(0,Screen_Input!K58*100))))</f>
        <v/>
      </c>
      <c r="F58" s="4">
        <f>IF($A58="","",IF(Screen_Input!O58="","",MIN(100,MAX(0,Screen_Input!O58*100))))</f>
        <v/>
      </c>
      <c r="G58" s="4">
        <f>IF($A58="","",IF(Screen_Input!N58="","",MIN(100,MAX(0,100-Screen_Input!N58*20))))</f>
        <v/>
      </c>
      <c r="H58" s="4">
        <f>IF($A58="","",IF(Screen_Input!P58="","",MIN(100,MAX(0,100-Screen_Input!P58*3))))</f>
        <v/>
      </c>
      <c r="I58" s="4">
        <f>IF($A58="","",IF(Screen_Input!S58&lt;&gt;"verified","",50))</f>
        <v/>
      </c>
      <c r="J58" s="10">
        <f>IF(OR($A58="",$D58&lt;0.6,$C58&lt;&gt;"ELIGIBLE"),"",ROUND(($E58*0.25+$F58*0.15+$G58*0.10+$H58*0.20+$I58*0.10+50*0.20),1))</f>
        <v/>
      </c>
      <c r="K58" s="11">
        <f>IF($J58="","",ROUND($D58*100,0))</f>
        <v/>
      </c>
      <c r="L58" s="4">
        <f>IF($J58="","",IF($J58&gt;=85,"STRONG",IF($J58&gt;=70,"POSITIVE",IF($J58&gt;=55,"WATCH",IF($J58&gt;=40,"WEAK","REJECT")))))</f>
        <v/>
      </c>
      <c r="M58" s="4">
        <f>IF($A58="","",IF($C58&lt;&gt;"ELIGIBLE","Needs verified source / data coverage",IF($D58&lt;0.8,"Provisional coverage","Screened")))</f>
        <v/>
      </c>
    </row>
    <row r="59">
      <c r="A59" s="4">
        <f>IF(Screen_Input!H59="","",Screen_Input!A59)</f>
        <v/>
      </c>
      <c r="B59" s="4">
        <f>IF(Screen_Input!H59="","",Screen_Input!B59)</f>
        <v/>
      </c>
      <c r="C59" s="9">
        <f>IF(Screen_Input!H59="","",IF(OR(Screen_Input!S59&lt;&gt;"verified",Screen_Input!H59=""),"INCOMPLETE","ELIGIBLE"))</f>
        <v/>
      </c>
      <c r="D59" s="4">
        <f>IF($A59="","",COUNT(Screen_Input!I59:Q59)/9)</f>
        <v/>
      </c>
      <c r="E59" s="4">
        <f>IF($A59="","",IF(Screen_Input!K59="","",MIN(100,MAX(0,Screen_Input!K59*100))))</f>
        <v/>
      </c>
      <c r="F59" s="4">
        <f>IF($A59="","",IF(Screen_Input!O59="","",MIN(100,MAX(0,Screen_Input!O59*100))))</f>
        <v/>
      </c>
      <c r="G59" s="4">
        <f>IF($A59="","",IF(Screen_Input!N59="","",MIN(100,MAX(0,100-Screen_Input!N59*20))))</f>
        <v/>
      </c>
      <c r="H59" s="4">
        <f>IF($A59="","",IF(Screen_Input!P59="","",MIN(100,MAX(0,100-Screen_Input!P59*3))))</f>
        <v/>
      </c>
      <c r="I59" s="4">
        <f>IF($A59="","",IF(Screen_Input!S59&lt;&gt;"verified","",50))</f>
        <v/>
      </c>
      <c r="J59" s="10">
        <f>IF(OR($A59="",$D59&lt;0.6,$C59&lt;&gt;"ELIGIBLE"),"",ROUND(($E59*0.25+$F59*0.15+$G59*0.10+$H59*0.20+$I59*0.10+50*0.20),1))</f>
        <v/>
      </c>
      <c r="K59" s="11">
        <f>IF($J59="","",ROUND($D59*100,0))</f>
        <v/>
      </c>
      <c r="L59" s="4">
        <f>IF($J59="","",IF($J59&gt;=85,"STRONG",IF($J59&gt;=70,"POSITIVE",IF($J59&gt;=55,"WATCH",IF($J59&gt;=40,"WEAK","REJECT")))))</f>
        <v/>
      </c>
      <c r="M59" s="4">
        <f>IF($A59="","",IF($C59&lt;&gt;"ELIGIBLE","Needs verified source / data coverage",IF($D59&lt;0.8,"Provisional coverage","Screened")))</f>
        <v/>
      </c>
    </row>
    <row r="60">
      <c r="A60" s="4">
        <f>IF(Screen_Input!H60="","",Screen_Input!A60)</f>
        <v/>
      </c>
      <c r="B60" s="4">
        <f>IF(Screen_Input!H60="","",Screen_Input!B60)</f>
        <v/>
      </c>
      <c r="C60" s="9">
        <f>IF(Screen_Input!H60="","",IF(OR(Screen_Input!S60&lt;&gt;"verified",Screen_Input!H60=""),"INCOMPLETE","ELIGIBLE"))</f>
        <v/>
      </c>
      <c r="D60" s="4">
        <f>IF($A60="","",COUNT(Screen_Input!I60:Q60)/9)</f>
        <v/>
      </c>
      <c r="E60" s="4">
        <f>IF($A60="","",IF(Screen_Input!K60="","",MIN(100,MAX(0,Screen_Input!K60*100))))</f>
        <v/>
      </c>
      <c r="F60" s="4">
        <f>IF($A60="","",IF(Screen_Input!O60="","",MIN(100,MAX(0,Screen_Input!O60*100))))</f>
        <v/>
      </c>
      <c r="G60" s="4">
        <f>IF($A60="","",IF(Screen_Input!N60="","",MIN(100,MAX(0,100-Screen_Input!N60*20))))</f>
        <v/>
      </c>
      <c r="H60" s="4">
        <f>IF($A60="","",IF(Screen_Input!P60="","",MIN(100,MAX(0,100-Screen_Input!P60*3))))</f>
        <v/>
      </c>
      <c r="I60" s="4">
        <f>IF($A60="","",IF(Screen_Input!S60&lt;&gt;"verified","",50))</f>
        <v/>
      </c>
      <c r="J60" s="10">
        <f>IF(OR($A60="",$D60&lt;0.6,$C60&lt;&gt;"ELIGIBLE"),"",ROUND(($E60*0.25+$F60*0.15+$G60*0.10+$H60*0.20+$I60*0.10+50*0.20),1))</f>
        <v/>
      </c>
      <c r="K60" s="11">
        <f>IF($J60="","",ROUND($D60*100,0))</f>
        <v/>
      </c>
      <c r="L60" s="4">
        <f>IF($J60="","",IF($J60&gt;=85,"STRONG",IF($J60&gt;=70,"POSITIVE",IF($J60&gt;=55,"WATCH",IF($J60&gt;=40,"WEAK","REJECT")))))</f>
        <v/>
      </c>
      <c r="M60" s="4">
        <f>IF($A60="","",IF($C60&lt;&gt;"ELIGIBLE","Needs verified source / data coverage",IF($D60&lt;0.8,"Provisional coverage","Screened")))</f>
        <v/>
      </c>
    </row>
    <row r="61">
      <c r="A61" s="4">
        <f>IF(Screen_Input!H61="","",Screen_Input!A61)</f>
        <v/>
      </c>
      <c r="B61" s="4">
        <f>IF(Screen_Input!H61="","",Screen_Input!B61)</f>
        <v/>
      </c>
      <c r="C61" s="9">
        <f>IF(Screen_Input!H61="","",IF(OR(Screen_Input!S61&lt;&gt;"verified",Screen_Input!H61=""),"INCOMPLETE","ELIGIBLE"))</f>
        <v/>
      </c>
      <c r="D61" s="4">
        <f>IF($A61="","",COUNT(Screen_Input!I61:Q61)/9)</f>
        <v/>
      </c>
      <c r="E61" s="4">
        <f>IF($A61="","",IF(Screen_Input!K61="","",MIN(100,MAX(0,Screen_Input!K61*100))))</f>
        <v/>
      </c>
      <c r="F61" s="4">
        <f>IF($A61="","",IF(Screen_Input!O61="","",MIN(100,MAX(0,Screen_Input!O61*100))))</f>
        <v/>
      </c>
      <c r="G61" s="4">
        <f>IF($A61="","",IF(Screen_Input!N61="","",MIN(100,MAX(0,100-Screen_Input!N61*20))))</f>
        <v/>
      </c>
      <c r="H61" s="4">
        <f>IF($A61="","",IF(Screen_Input!P61="","",MIN(100,MAX(0,100-Screen_Input!P61*3))))</f>
        <v/>
      </c>
      <c r="I61" s="4">
        <f>IF($A61="","",IF(Screen_Input!S61&lt;&gt;"verified","",50))</f>
        <v/>
      </c>
      <c r="J61" s="10">
        <f>IF(OR($A61="",$D61&lt;0.6,$C61&lt;&gt;"ELIGIBLE"),"",ROUND(($E61*0.25+$F61*0.15+$G61*0.10+$H61*0.20+$I61*0.10+50*0.20),1))</f>
        <v/>
      </c>
      <c r="K61" s="11">
        <f>IF($J61="","",ROUND($D61*100,0))</f>
        <v/>
      </c>
      <c r="L61" s="4">
        <f>IF($J61="","",IF($J61&gt;=85,"STRONG",IF($J61&gt;=70,"POSITIVE",IF($J61&gt;=55,"WATCH",IF($J61&gt;=40,"WEAK","REJECT")))))</f>
        <v/>
      </c>
      <c r="M61" s="4">
        <f>IF($A61="","",IF($C61&lt;&gt;"ELIGIBLE","Needs verified source / data coverage",IF($D61&lt;0.8,"Provisional coverage","Screened")))</f>
        <v/>
      </c>
    </row>
    <row r="62">
      <c r="A62" s="4">
        <f>IF(Screen_Input!H62="","",Screen_Input!A62)</f>
        <v/>
      </c>
      <c r="B62" s="4">
        <f>IF(Screen_Input!H62="","",Screen_Input!B62)</f>
        <v/>
      </c>
      <c r="C62" s="9">
        <f>IF(Screen_Input!H62="","",IF(OR(Screen_Input!S62&lt;&gt;"verified",Screen_Input!H62=""),"INCOMPLETE","ELIGIBLE"))</f>
        <v/>
      </c>
      <c r="D62" s="4">
        <f>IF($A62="","",COUNT(Screen_Input!I62:Q62)/9)</f>
        <v/>
      </c>
      <c r="E62" s="4">
        <f>IF($A62="","",IF(Screen_Input!K62="","",MIN(100,MAX(0,Screen_Input!K62*100))))</f>
        <v/>
      </c>
      <c r="F62" s="4">
        <f>IF($A62="","",IF(Screen_Input!O62="","",MIN(100,MAX(0,Screen_Input!O62*100))))</f>
        <v/>
      </c>
      <c r="G62" s="4">
        <f>IF($A62="","",IF(Screen_Input!N62="","",MIN(100,MAX(0,100-Screen_Input!N62*20))))</f>
        <v/>
      </c>
      <c r="H62" s="4">
        <f>IF($A62="","",IF(Screen_Input!P62="","",MIN(100,MAX(0,100-Screen_Input!P62*3))))</f>
        <v/>
      </c>
      <c r="I62" s="4">
        <f>IF($A62="","",IF(Screen_Input!S62&lt;&gt;"verified","",50))</f>
        <v/>
      </c>
      <c r="J62" s="10">
        <f>IF(OR($A62="",$D62&lt;0.6,$C62&lt;&gt;"ELIGIBLE"),"",ROUND(($E62*0.25+$F62*0.15+$G62*0.10+$H62*0.20+$I62*0.10+50*0.20),1))</f>
        <v/>
      </c>
      <c r="K62" s="11">
        <f>IF($J62="","",ROUND($D62*100,0))</f>
        <v/>
      </c>
      <c r="L62" s="4">
        <f>IF($J62="","",IF($J62&gt;=85,"STRONG",IF($J62&gt;=70,"POSITIVE",IF($J62&gt;=55,"WATCH",IF($J62&gt;=40,"WEAK","REJECT")))))</f>
        <v/>
      </c>
      <c r="M62" s="4">
        <f>IF($A62="","",IF($C62&lt;&gt;"ELIGIBLE","Needs verified source / data coverage",IF($D62&lt;0.8,"Provisional coverage","Screened")))</f>
        <v/>
      </c>
    </row>
    <row r="63">
      <c r="A63" s="4">
        <f>IF(Screen_Input!H63="","",Screen_Input!A63)</f>
        <v/>
      </c>
      <c r="B63" s="4">
        <f>IF(Screen_Input!H63="","",Screen_Input!B63)</f>
        <v/>
      </c>
      <c r="C63" s="9">
        <f>IF(Screen_Input!H63="","",IF(OR(Screen_Input!S63&lt;&gt;"verified",Screen_Input!H63=""),"INCOMPLETE","ELIGIBLE"))</f>
        <v/>
      </c>
      <c r="D63" s="4">
        <f>IF($A63="","",COUNT(Screen_Input!I63:Q63)/9)</f>
        <v/>
      </c>
      <c r="E63" s="4">
        <f>IF($A63="","",IF(Screen_Input!K63="","",MIN(100,MAX(0,Screen_Input!K63*100))))</f>
        <v/>
      </c>
      <c r="F63" s="4">
        <f>IF($A63="","",IF(Screen_Input!O63="","",MIN(100,MAX(0,Screen_Input!O63*100))))</f>
        <v/>
      </c>
      <c r="G63" s="4">
        <f>IF($A63="","",IF(Screen_Input!N63="","",MIN(100,MAX(0,100-Screen_Input!N63*20))))</f>
        <v/>
      </c>
      <c r="H63" s="4">
        <f>IF($A63="","",IF(Screen_Input!P63="","",MIN(100,MAX(0,100-Screen_Input!P63*3))))</f>
        <v/>
      </c>
      <c r="I63" s="4">
        <f>IF($A63="","",IF(Screen_Input!S63&lt;&gt;"verified","",50))</f>
        <v/>
      </c>
      <c r="J63" s="10">
        <f>IF(OR($A63="",$D63&lt;0.6,$C63&lt;&gt;"ELIGIBLE"),"",ROUND(($E63*0.25+$F63*0.15+$G63*0.10+$H63*0.20+$I63*0.10+50*0.20),1))</f>
        <v/>
      </c>
      <c r="K63" s="11">
        <f>IF($J63="","",ROUND($D63*100,0))</f>
        <v/>
      </c>
      <c r="L63" s="4">
        <f>IF($J63="","",IF($J63&gt;=85,"STRONG",IF($J63&gt;=70,"POSITIVE",IF($J63&gt;=55,"WATCH",IF($J63&gt;=40,"WEAK","REJECT")))))</f>
        <v/>
      </c>
      <c r="M63" s="4">
        <f>IF($A63="","",IF($C63&lt;&gt;"ELIGIBLE","Needs verified source / data coverage",IF($D63&lt;0.8,"Provisional coverage","Screened")))</f>
        <v/>
      </c>
    </row>
    <row r="64">
      <c r="A64" s="4">
        <f>IF(Screen_Input!H64="","",Screen_Input!A64)</f>
        <v/>
      </c>
      <c r="B64" s="4">
        <f>IF(Screen_Input!H64="","",Screen_Input!B64)</f>
        <v/>
      </c>
      <c r="C64" s="9">
        <f>IF(Screen_Input!H64="","",IF(OR(Screen_Input!S64&lt;&gt;"verified",Screen_Input!H64=""),"INCOMPLETE","ELIGIBLE"))</f>
        <v/>
      </c>
      <c r="D64" s="4">
        <f>IF($A64="","",COUNT(Screen_Input!I64:Q64)/9)</f>
        <v/>
      </c>
      <c r="E64" s="4">
        <f>IF($A64="","",IF(Screen_Input!K64="","",MIN(100,MAX(0,Screen_Input!K64*100))))</f>
        <v/>
      </c>
      <c r="F64" s="4">
        <f>IF($A64="","",IF(Screen_Input!O64="","",MIN(100,MAX(0,Screen_Input!O64*100))))</f>
        <v/>
      </c>
      <c r="G64" s="4">
        <f>IF($A64="","",IF(Screen_Input!N64="","",MIN(100,MAX(0,100-Screen_Input!N64*20))))</f>
        <v/>
      </c>
      <c r="H64" s="4">
        <f>IF($A64="","",IF(Screen_Input!P64="","",MIN(100,MAX(0,100-Screen_Input!P64*3))))</f>
        <v/>
      </c>
      <c r="I64" s="4">
        <f>IF($A64="","",IF(Screen_Input!S64&lt;&gt;"verified","",50))</f>
        <v/>
      </c>
      <c r="J64" s="10">
        <f>IF(OR($A64="",$D64&lt;0.6,$C64&lt;&gt;"ELIGIBLE"),"",ROUND(($E64*0.25+$F64*0.15+$G64*0.10+$H64*0.20+$I64*0.10+50*0.20),1))</f>
        <v/>
      </c>
      <c r="K64" s="11">
        <f>IF($J64="","",ROUND($D64*100,0))</f>
        <v/>
      </c>
      <c r="L64" s="4">
        <f>IF($J64="","",IF($J64&gt;=85,"STRONG",IF($J64&gt;=70,"POSITIVE",IF($J64&gt;=55,"WATCH",IF($J64&gt;=40,"WEAK","REJECT")))))</f>
        <v/>
      </c>
      <c r="M64" s="4">
        <f>IF($A64="","",IF($C64&lt;&gt;"ELIGIBLE","Needs verified source / data coverage",IF($D64&lt;0.8,"Provisional coverage","Screened")))</f>
        <v/>
      </c>
    </row>
    <row r="65">
      <c r="A65" s="4">
        <f>IF(Screen_Input!H65="","",Screen_Input!A65)</f>
        <v/>
      </c>
      <c r="B65" s="4">
        <f>IF(Screen_Input!H65="","",Screen_Input!B65)</f>
        <v/>
      </c>
      <c r="C65" s="9">
        <f>IF(Screen_Input!H65="","",IF(OR(Screen_Input!S65&lt;&gt;"verified",Screen_Input!H65=""),"INCOMPLETE","ELIGIBLE"))</f>
        <v/>
      </c>
      <c r="D65" s="4">
        <f>IF($A65="","",COUNT(Screen_Input!I65:Q65)/9)</f>
        <v/>
      </c>
      <c r="E65" s="4">
        <f>IF($A65="","",IF(Screen_Input!K65="","",MIN(100,MAX(0,Screen_Input!K65*100))))</f>
        <v/>
      </c>
      <c r="F65" s="4">
        <f>IF($A65="","",IF(Screen_Input!O65="","",MIN(100,MAX(0,Screen_Input!O65*100))))</f>
        <v/>
      </c>
      <c r="G65" s="4">
        <f>IF($A65="","",IF(Screen_Input!N65="","",MIN(100,MAX(0,100-Screen_Input!N65*20))))</f>
        <v/>
      </c>
      <c r="H65" s="4">
        <f>IF($A65="","",IF(Screen_Input!P65="","",MIN(100,MAX(0,100-Screen_Input!P65*3))))</f>
        <v/>
      </c>
      <c r="I65" s="4">
        <f>IF($A65="","",IF(Screen_Input!S65&lt;&gt;"verified","",50))</f>
        <v/>
      </c>
      <c r="J65" s="10">
        <f>IF(OR($A65="",$D65&lt;0.6,$C65&lt;&gt;"ELIGIBLE"),"",ROUND(($E65*0.25+$F65*0.15+$G65*0.10+$H65*0.20+$I65*0.10+50*0.20),1))</f>
        <v/>
      </c>
      <c r="K65" s="11">
        <f>IF($J65="","",ROUND($D65*100,0))</f>
        <v/>
      </c>
      <c r="L65" s="4">
        <f>IF($J65="","",IF($J65&gt;=85,"STRONG",IF($J65&gt;=70,"POSITIVE",IF($J65&gt;=55,"WATCH",IF($J65&gt;=40,"WEAK","REJECT")))))</f>
        <v/>
      </c>
      <c r="M65" s="4">
        <f>IF($A65="","",IF($C65&lt;&gt;"ELIGIBLE","Needs verified source / data coverage",IF($D65&lt;0.8,"Provisional coverage","Screened")))</f>
        <v/>
      </c>
    </row>
    <row r="66">
      <c r="A66" s="4">
        <f>IF(Screen_Input!H66="","",Screen_Input!A66)</f>
        <v/>
      </c>
      <c r="B66" s="4">
        <f>IF(Screen_Input!H66="","",Screen_Input!B66)</f>
        <v/>
      </c>
      <c r="C66" s="9">
        <f>IF(Screen_Input!H66="","",IF(OR(Screen_Input!S66&lt;&gt;"verified",Screen_Input!H66=""),"INCOMPLETE","ELIGIBLE"))</f>
        <v/>
      </c>
      <c r="D66" s="4">
        <f>IF($A66="","",COUNT(Screen_Input!I66:Q66)/9)</f>
        <v/>
      </c>
      <c r="E66" s="4">
        <f>IF($A66="","",IF(Screen_Input!K66="","",MIN(100,MAX(0,Screen_Input!K66*100))))</f>
        <v/>
      </c>
      <c r="F66" s="4">
        <f>IF($A66="","",IF(Screen_Input!O66="","",MIN(100,MAX(0,Screen_Input!O66*100))))</f>
        <v/>
      </c>
      <c r="G66" s="4">
        <f>IF($A66="","",IF(Screen_Input!N66="","",MIN(100,MAX(0,100-Screen_Input!N66*20))))</f>
        <v/>
      </c>
      <c r="H66" s="4">
        <f>IF($A66="","",IF(Screen_Input!P66="","",MIN(100,MAX(0,100-Screen_Input!P66*3))))</f>
        <v/>
      </c>
      <c r="I66" s="4">
        <f>IF($A66="","",IF(Screen_Input!S66&lt;&gt;"verified","",50))</f>
        <v/>
      </c>
      <c r="J66" s="10">
        <f>IF(OR($A66="",$D66&lt;0.6,$C66&lt;&gt;"ELIGIBLE"),"",ROUND(($E66*0.25+$F66*0.15+$G66*0.10+$H66*0.20+$I66*0.10+50*0.20),1))</f>
        <v/>
      </c>
      <c r="K66" s="11">
        <f>IF($J66="","",ROUND($D66*100,0))</f>
        <v/>
      </c>
      <c r="L66" s="4">
        <f>IF($J66="","",IF($J66&gt;=85,"STRONG",IF($J66&gt;=70,"POSITIVE",IF($J66&gt;=55,"WATCH",IF($J66&gt;=40,"WEAK","REJECT")))))</f>
        <v/>
      </c>
      <c r="M66" s="4">
        <f>IF($A66="","",IF($C66&lt;&gt;"ELIGIBLE","Needs verified source / data coverage",IF($D66&lt;0.8,"Provisional coverage","Screened")))</f>
        <v/>
      </c>
    </row>
    <row r="67">
      <c r="A67" s="4">
        <f>IF(Screen_Input!H67="","",Screen_Input!A67)</f>
        <v/>
      </c>
      <c r="B67" s="4">
        <f>IF(Screen_Input!H67="","",Screen_Input!B67)</f>
        <v/>
      </c>
      <c r="C67" s="9">
        <f>IF(Screen_Input!H67="","",IF(OR(Screen_Input!S67&lt;&gt;"verified",Screen_Input!H67=""),"INCOMPLETE","ELIGIBLE"))</f>
        <v/>
      </c>
      <c r="D67" s="4">
        <f>IF($A67="","",COUNT(Screen_Input!I67:Q67)/9)</f>
        <v/>
      </c>
      <c r="E67" s="4">
        <f>IF($A67="","",IF(Screen_Input!K67="","",MIN(100,MAX(0,Screen_Input!K67*100))))</f>
        <v/>
      </c>
      <c r="F67" s="4">
        <f>IF($A67="","",IF(Screen_Input!O67="","",MIN(100,MAX(0,Screen_Input!O67*100))))</f>
        <v/>
      </c>
      <c r="G67" s="4">
        <f>IF($A67="","",IF(Screen_Input!N67="","",MIN(100,MAX(0,100-Screen_Input!N67*20))))</f>
        <v/>
      </c>
      <c r="H67" s="4">
        <f>IF($A67="","",IF(Screen_Input!P67="","",MIN(100,MAX(0,100-Screen_Input!P67*3))))</f>
        <v/>
      </c>
      <c r="I67" s="4">
        <f>IF($A67="","",IF(Screen_Input!S67&lt;&gt;"verified","",50))</f>
        <v/>
      </c>
      <c r="J67" s="10">
        <f>IF(OR($A67="",$D67&lt;0.6,$C67&lt;&gt;"ELIGIBLE"),"",ROUND(($E67*0.25+$F67*0.15+$G67*0.10+$H67*0.20+$I67*0.10+50*0.20),1))</f>
        <v/>
      </c>
      <c r="K67" s="11">
        <f>IF($J67="","",ROUND($D67*100,0))</f>
        <v/>
      </c>
      <c r="L67" s="4">
        <f>IF($J67="","",IF($J67&gt;=85,"STRONG",IF($J67&gt;=70,"POSITIVE",IF($J67&gt;=55,"WATCH",IF($J67&gt;=40,"WEAK","REJECT")))))</f>
        <v/>
      </c>
      <c r="M67" s="4">
        <f>IF($A67="","",IF($C67&lt;&gt;"ELIGIBLE","Needs verified source / data coverage",IF($D67&lt;0.8,"Provisional coverage","Screened")))</f>
        <v/>
      </c>
    </row>
    <row r="68">
      <c r="A68" s="4">
        <f>IF(Screen_Input!H68="","",Screen_Input!A68)</f>
        <v/>
      </c>
      <c r="B68" s="4">
        <f>IF(Screen_Input!H68="","",Screen_Input!B68)</f>
        <v/>
      </c>
      <c r="C68" s="9">
        <f>IF(Screen_Input!H68="","",IF(OR(Screen_Input!S68&lt;&gt;"verified",Screen_Input!H68=""),"INCOMPLETE","ELIGIBLE"))</f>
        <v/>
      </c>
      <c r="D68" s="4">
        <f>IF($A68="","",COUNT(Screen_Input!I68:Q68)/9)</f>
        <v/>
      </c>
      <c r="E68" s="4">
        <f>IF($A68="","",IF(Screen_Input!K68="","",MIN(100,MAX(0,Screen_Input!K68*100))))</f>
        <v/>
      </c>
      <c r="F68" s="4">
        <f>IF($A68="","",IF(Screen_Input!O68="","",MIN(100,MAX(0,Screen_Input!O68*100))))</f>
        <v/>
      </c>
      <c r="G68" s="4">
        <f>IF($A68="","",IF(Screen_Input!N68="","",MIN(100,MAX(0,100-Screen_Input!N68*20))))</f>
        <v/>
      </c>
      <c r="H68" s="4">
        <f>IF($A68="","",IF(Screen_Input!P68="","",MIN(100,MAX(0,100-Screen_Input!P68*3))))</f>
        <v/>
      </c>
      <c r="I68" s="4">
        <f>IF($A68="","",IF(Screen_Input!S68&lt;&gt;"verified","",50))</f>
        <v/>
      </c>
      <c r="J68" s="10">
        <f>IF(OR($A68="",$D68&lt;0.6,$C68&lt;&gt;"ELIGIBLE"),"",ROUND(($E68*0.25+$F68*0.15+$G68*0.10+$H68*0.20+$I68*0.10+50*0.20),1))</f>
        <v/>
      </c>
      <c r="K68" s="11">
        <f>IF($J68="","",ROUND($D68*100,0))</f>
        <v/>
      </c>
      <c r="L68" s="4">
        <f>IF($J68="","",IF($J68&gt;=85,"STRONG",IF($J68&gt;=70,"POSITIVE",IF($J68&gt;=55,"WATCH",IF($J68&gt;=40,"WEAK","REJECT")))))</f>
        <v/>
      </c>
      <c r="M68" s="4">
        <f>IF($A68="","",IF($C68&lt;&gt;"ELIGIBLE","Needs verified source / data coverage",IF($D68&lt;0.8,"Provisional coverage","Screened")))</f>
        <v/>
      </c>
    </row>
    <row r="69">
      <c r="A69" s="4">
        <f>IF(Screen_Input!H69="","",Screen_Input!A69)</f>
        <v/>
      </c>
      <c r="B69" s="4">
        <f>IF(Screen_Input!H69="","",Screen_Input!B69)</f>
        <v/>
      </c>
      <c r="C69" s="9">
        <f>IF(Screen_Input!H69="","",IF(OR(Screen_Input!S69&lt;&gt;"verified",Screen_Input!H69=""),"INCOMPLETE","ELIGIBLE"))</f>
        <v/>
      </c>
      <c r="D69" s="4">
        <f>IF($A69="","",COUNT(Screen_Input!I69:Q69)/9)</f>
        <v/>
      </c>
      <c r="E69" s="4">
        <f>IF($A69="","",IF(Screen_Input!K69="","",MIN(100,MAX(0,Screen_Input!K69*100))))</f>
        <v/>
      </c>
      <c r="F69" s="4">
        <f>IF($A69="","",IF(Screen_Input!O69="","",MIN(100,MAX(0,Screen_Input!O69*100))))</f>
        <v/>
      </c>
      <c r="G69" s="4">
        <f>IF($A69="","",IF(Screen_Input!N69="","",MIN(100,MAX(0,100-Screen_Input!N69*20))))</f>
        <v/>
      </c>
      <c r="H69" s="4">
        <f>IF($A69="","",IF(Screen_Input!P69="","",MIN(100,MAX(0,100-Screen_Input!P69*3))))</f>
        <v/>
      </c>
      <c r="I69" s="4">
        <f>IF($A69="","",IF(Screen_Input!S69&lt;&gt;"verified","",50))</f>
        <v/>
      </c>
      <c r="J69" s="10">
        <f>IF(OR($A69="",$D69&lt;0.6,$C69&lt;&gt;"ELIGIBLE"),"",ROUND(($E69*0.25+$F69*0.15+$G69*0.10+$H69*0.20+$I69*0.10+50*0.20),1))</f>
        <v/>
      </c>
      <c r="K69" s="11">
        <f>IF($J69="","",ROUND($D69*100,0))</f>
        <v/>
      </c>
      <c r="L69" s="4">
        <f>IF($J69="","",IF($J69&gt;=85,"STRONG",IF($J69&gt;=70,"POSITIVE",IF($J69&gt;=55,"WATCH",IF($J69&gt;=40,"WEAK","REJECT")))))</f>
        <v/>
      </c>
      <c r="M69" s="4">
        <f>IF($A69="","",IF($C69&lt;&gt;"ELIGIBLE","Needs verified source / data coverage",IF($D69&lt;0.8,"Provisional coverage","Screened")))</f>
        <v/>
      </c>
    </row>
    <row r="70">
      <c r="A70" s="4">
        <f>IF(Screen_Input!H70="","",Screen_Input!A70)</f>
        <v/>
      </c>
      <c r="B70" s="4">
        <f>IF(Screen_Input!H70="","",Screen_Input!B70)</f>
        <v/>
      </c>
      <c r="C70" s="9">
        <f>IF(Screen_Input!H70="","",IF(OR(Screen_Input!S70&lt;&gt;"verified",Screen_Input!H70=""),"INCOMPLETE","ELIGIBLE"))</f>
        <v/>
      </c>
      <c r="D70" s="4">
        <f>IF($A70="","",COUNT(Screen_Input!I70:Q70)/9)</f>
        <v/>
      </c>
      <c r="E70" s="4">
        <f>IF($A70="","",IF(Screen_Input!K70="","",MIN(100,MAX(0,Screen_Input!K70*100))))</f>
        <v/>
      </c>
      <c r="F70" s="4">
        <f>IF($A70="","",IF(Screen_Input!O70="","",MIN(100,MAX(0,Screen_Input!O70*100))))</f>
        <v/>
      </c>
      <c r="G70" s="4">
        <f>IF($A70="","",IF(Screen_Input!N70="","",MIN(100,MAX(0,100-Screen_Input!N70*20))))</f>
        <v/>
      </c>
      <c r="H70" s="4">
        <f>IF($A70="","",IF(Screen_Input!P70="","",MIN(100,MAX(0,100-Screen_Input!P70*3))))</f>
        <v/>
      </c>
      <c r="I70" s="4">
        <f>IF($A70="","",IF(Screen_Input!S70&lt;&gt;"verified","",50))</f>
        <v/>
      </c>
      <c r="J70" s="10">
        <f>IF(OR($A70="",$D70&lt;0.6,$C70&lt;&gt;"ELIGIBLE"),"",ROUND(($E70*0.25+$F70*0.15+$G70*0.10+$H70*0.20+$I70*0.10+50*0.20),1))</f>
        <v/>
      </c>
      <c r="K70" s="11">
        <f>IF($J70="","",ROUND($D70*100,0))</f>
        <v/>
      </c>
      <c r="L70" s="4">
        <f>IF($J70="","",IF($J70&gt;=85,"STRONG",IF($J70&gt;=70,"POSITIVE",IF($J70&gt;=55,"WATCH",IF($J70&gt;=40,"WEAK","REJECT")))))</f>
        <v/>
      </c>
      <c r="M70" s="4">
        <f>IF($A70="","",IF($C70&lt;&gt;"ELIGIBLE","Needs verified source / data coverage",IF($D70&lt;0.8,"Provisional coverage","Screened")))</f>
        <v/>
      </c>
    </row>
    <row r="71">
      <c r="A71" s="4">
        <f>IF(Screen_Input!H71="","",Screen_Input!A71)</f>
        <v/>
      </c>
      <c r="B71" s="4">
        <f>IF(Screen_Input!H71="","",Screen_Input!B71)</f>
        <v/>
      </c>
      <c r="C71" s="9">
        <f>IF(Screen_Input!H71="","",IF(OR(Screen_Input!S71&lt;&gt;"verified",Screen_Input!H71=""),"INCOMPLETE","ELIGIBLE"))</f>
        <v/>
      </c>
      <c r="D71" s="4">
        <f>IF($A71="","",COUNT(Screen_Input!I71:Q71)/9)</f>
        <v/>
      </c>
      <c r="E71" s="4">
        <f>IF($A71="","",IF(Screen_Input!K71="","",MIN(100,MAX(0,Screen_Input!K71*100))))</f>
        <v/>
      </c>
      <c r="F71" s="4">
        <f>IF($A71="","",IF(Screen_Input!O71="","",MIN(100,MAX(0,Screen_Input!O71*100))))</f>
        <v/>
      </c>
      <c r="G71" s="4">
        <f>IF($A71="","",IF(Screen_Input!N71="","",MIN(100,MAX(0,100-Screen_Input!N71*20))))</f>
        <v/>
      </c>
      <c r="H71" s="4">
        <f>IF($A71="","",IF(Screen_Input!P71="","",MIN(100,MAX(0,100-Screen_Input!P71*3))))</f>
        <v/>
      </c>
      <c r="I71" s="4">
        <f>IF($A71="","",IF(Screen_Input!S71&lt;&gt;"verified","",50))</f>
        <v/>
      </c>
      <c r="J71" s="10">
        <f>IF(OR($A71="",$D71&lt;0.6,$C71&lt;&gt;"ELIGIBLE"),"",ROUND(($E71*0.25+$F71*0.15+$G71*0.10+$H71*0.20+$I71*0.10+50*0.20),1))</f>
        <v/>
      </c>
      <c r="K71" s="11">
        <f>IF($J71="","",ROUND($D71*100,0))</f>
        <v/>
      </c>
      <c r="L71" s="4">
        <f>IF($J71="","",IF($J71&gt;=85,"STRONG",IF($J71&gt;=70,"POSITIVE",IF($J71&gt;=55,"WATCH",IF($J71&gt;=40,"WEAK","REJECT")))))</f>
        <v/>
      </c>
      <c r="M71" s="4">
        <f>IF($A71="","",IF($C71&lt;&gt;"ELIGIBLE","Needs verified source / data coverage",IF($D71&lt;0.8,"Provisional coverage","Screened")))</f>
        <v/>
      </c>
    </row>
    <row r="72">
      <c r="A72" s="4">
        <f>IF(Screen_Input!H72="","",Screen_Input!A72)</f>
        <v/>
      </c>
      <c r="B72" s="4">
        <f>IF(Screen_Input!H72="","",Screen_Input!B72)</f>
        <v/>
      </c>
      <c r="C72" s="9">
        <f>IF(Screen_Input!H72="","",IF(OR(Screen_Input!S72&lt;&gt;"verified",Screen_Input!H72=""),"INCOMPLETE","ELIGIBLE"))</f>
        <v/>
      </c>
      <c r="D72" s="4">
        <f>IF($A72="","",COUNT(Screen_Input!I72:Q72)/9)</f>
        <v/>
      </c>
      <c r="E72" s="4">
        <f>IF($A72="","",IF(Screen_Input!K72="","",MIN(100,MAX(0,Screen_Input!K72*100))))</f>
        <v/>
      </c>
      <c r="F72" s="4">
        <f>IF($A72="","",IF(Screen_Input!O72="","",MIN(100,MAX(0,Screen_Input!O72*100))))</f>
        <v/>
      </c>
      <c r="G72" s="4">
        <f>IF($A72="","",IF(Screen_Input!N72="","",MIN(100,MAX(0,100-Screen_Input!N72*20))))</f>
        <v/>
      </c>
      <c r="H72" s="4">
        <f>IF($A72="","",IF(Screen_Input!P72="","",MIN(100,MAX(0,100-Screen_Input!P72*3))))</f>
        <v/>
      </c>
      <c r="I72" s="4">
        <f>IF($A72="","",IF(Screen_Input!S72&lt;&gt;"verified","",50))</f>
        <v/>
      </c>
      <c r="J72" s="10">
        <f>IF(OR($A72="",$D72&lt;0.6,$C72&lt;&gt;"ELIGIBLE"),"",ROUND(($E72*0.25+$F72*0.15+$G72*0.10+$H72*0.20+$I72*0.10+50*0.20),1))</f>
        <v/>
      </c>
      <c r="K72" s="11">
        <f>IF($J72="","",ROUND($D72*100,0))</f>
        <v/>
      </c>
      <c r="L72" s="4">
        <f>IF($J72="","",IF($J72&gt;=85,"STRONG",IF($J72&gt;=70,"POSITIVE",IF($J72&gt;=55,"WATCH",IF($J72&gt;=40,"WEAK","REJECT")))))</f>
        <v/>
      </c>
      <c r="M72" s="4">
        <f>IF($A72="","",IF($C72&lt;&gt;"ELIGIBLE","Needs verified source / data coverage",IF($D72&lt;0.8,"Provisional coverage","Screened")))</f>
        <v/>
      </c>
    </row>
    <row r="73">
      <c r="A73" s="4">
        <f>IF(Screen_Input!H73="","",Screen_Input!A73)</f>
        <v/>
      </c>
      <c r="B73" s="4">
        <f>IF(Screen_Input!H73="","",Screen_Input!B73)</f>
        <v/>
      </c>
      <c r="C73" s="9">
        <f>IF(Screen_Input!H73="","",IF(OR(Screen_Input!S73&lt;&gt;"verified",Screen_Input!H73=""),"INCOMPLETE","ELIGIBLE"))</f>
        <v/>
      </c>
      <c r="D73" s="4">
        <f>IF($A73="","",COUNT(Screen_Input!I73:Q73)/9)</f>
        <v/>
      </c>
      <c r="E73" s="4">
        <f>IF($A73="","",IF(Screen_Input!K73="","",MIN(100,MAX(0,Screen_Input!K73*100))))</f>
        <v/>
      </c>
      <c r="F73" s="4">
        <f>IF($A73="","",IF(Screen_Input!O73="","",MIN(100,MAX(0,Screen_Input!O73*100))))</f>
        <v/>
      </c>
      <c r="G73" s="4">
        <f>IF($A73="","",IF(Screen_Input!N73="","",MIN(100,MAX(0,100-Screen_Input!N73*20))))</f>
        <v/>
      </c>
      <c r="H73" s="4">
        <f>IF($A73="","",IF(Screen_Input!P73="","",MIN(100,MAX(0,100-Screen_Input!P73*3))))</f>
        <v/>
      </c>
      <c r="I73" s="4">
        <f>IF($A73="","",IF(Screen_Input!S73&lt;&gt;"verified","",50))</f>
        <v/>
      </c>
      <c r="J73" s="10">
        <f>IF(OR($A73="",$D73&lt;0.6,$C73&lt;&gt;"ELIGIBLE"),"",ROUND(($E73*0.25+$F73*0.15+$G73*0.10+$H73*0.20+$I73*0.10+50*0.20),1))</f>
        <v/>
      </c>
      <c r="K73" s="11">
        <f>IF($J73="","",ROUND($D73*100,0))</f>
        <v/>
      </c>
      <c r="L73" s="4">
        <f>IF($J73="","",IF($J73&gt;=85,"STRONG",IF($J73&gt;=70,"POSITIVE",IF($J73&gt;=55,"WATCH",IF($J73&gt;=40,"WEAK","REJECT")))))</f>
        <v/>
      </c>
      <c r="M73" s="4">
        <f>IF($A73="","",IF($C73&lt;&gt;"ELIGIBLE","Needs verified source / data coverage",IF($D73&lt;0.8,"Provisional coverage","Screened")))</f>
        <v/>
      </c>
    </row>
    <row r="74">
      <c r="A74" s="4">
        <f>IF(Screen_Input!H74="","",Screen_Input!A74)</f>
        <v/>
      </c>
      <c r="B74" s="4">
        <f>IF(Screen_Input!H74="","",Screen_Input!B74)</f>
        <v/>
      </c>
      <c r="C74" s="9">
        <f>IF(Screen_Input!H74="","",IF(OR(Screen_Input!S74&lt;&gt;"verified",Screen_Input!H74=""),"INCOMPLETE","ELIGIBLE"))</f>
        <v/>
      </c>
      <c r="D74" s="4">
        <f>IF($A74="","",COUNT(Screen_Input!I74:Q74)/9)</f>
        <v/>
      </c>
      <c r="E74" s="4">
        <f>IF($A74="","",IF(Screen_Input!K74="","",MIN(100,MAX(0,Screen_Input!K74*100))))</f>
        <v/>
      </c>
      <c r="F74" s="4">
        <f>IF($A74="","",IF(Screen_Input!O74="","",MIN(100,MAX(0,Screen_Input!O74*100))))</f>
        <v/>
      </c>
      <c r="G74" s="4">
        <f>IF($A74="","",IF(Screen_Input!N74="","",MIN(100,MAX(0,100-Screen_Input!N74*20))))</f>
        <v/>
      </c>
      <c r="H74" s="4">
        <f>IF($A74="","",IF(Screen_Input!P74="","",MIN(100,MAX(0,100-Screen_Input!P74*3))))</f>
        <v/>
      </c>
      <c r="I74" s="4">
        <f>IF($A74="","",IF(Screen_Input!S74&lt;&gt;"verified","",50))</f>
        <v/>
      </c>
      <c r="J74" s="10">
        <f>IF(OR($A74="",$D74&lt;0.6,$C74&lt;&gt;"ELIGIBLE"),"",ROUND(($E74*0.25+$F74*0.15+$G74*0.10+$H74*0.20+$I74*0.10+50*0.20),1))</f>
        <v/>
      </c>
      <c r="K74" s="11">
        <f>IF($J74="","",ROUND($D74*100,0))</f>
        <v/>
      </c>
      <c r="L74" s="4">
        <f>IF($J74="","",IF($J74&gt;=85,"STRONG",IF($J74&gt;=70,"POSITIVE",IF($J74&gt;=55,"WATCH",IF($J74&gt;=40,"WEAK","REJECT")))))</f>
        <v/>
      </c>
      <c r="M74" s="4">
        <f>IF($A74="","",IF($C74&lt;&gt;"ELIGIBLE","Needs verified source / data coverage",IF($D74&lt;0.8,"Provisional coverage","Screened")))</f>
        <v/>
      </c>
    </row>
    <row r="75">
      <c r="A75" s="4">
        <f>IF(Screen_Input!H75="","",Screen_Input!A75)</f>
        <v/>
      </c>
      <c r="B75" s="4">
        <f>IF(Screen_Input!H75="","",Screen_Input!B75)</f>
        <v/>
      </c>
      <c r="C75" s="9">
        <f>IF(Screen_Input!H75="","",IF(OR(Screen_Input!S75&lt;&gt;"verified",Screen_Input!H75=""),"INCOMPLETE","ELIGIBLE"))</f>
        <v/>
      </c>
      <c r="D75" s="4">
        <f>IF($A75="","",COUNT(Screen_Input!I75:Q75)/9)</f>
        <v/>
      </c>
      <c r="E75" s="4">
        <f>IF($A75="","",IF(Screen_Input!K75="","",MIN(100,MAX(0,Screen_Input!K75*100))))</f>
        <v/>
      </c>
      <c r="F75" s="4">
        <f>IF($A75="","",IF(Screen_Input!O75="","",MIN(100,MAX(0,Screen_Input!O75*100))))</f>
        <v/>
      </c>
      <c r="G75" s="4">
        <f>IF($A75="","",IF(Screen_Input!N75="","",MIN(100,MAX(0,100-Screen_Input!N75*20))))</f>
        <v/>
      </c>
      <c r="H75" s="4">
        <f>IF($A75="","",IF(Screen_Input!P75="","",MIN(100,MAX(0,100-Screen_Input!P75*3))))</f>
        <v/>
      </c>
      <c r="I75" s="4">
        <f>IF($A75="","",IF(Screen_Input!S75&lt;&gt;"verified","",50))</f>
        <v/>
      </c>
      <c r="J75" s="10">
        <f>IF(OR($A75="",$D75&lt;0.6,$C75&lt;&gt;"ELIGIBLE"),"",ROUND(($E75*0.25+$F75*0.15+$G75*0.10+$H75*0.20+$I75*0.10+50*0.20),1))</f>
        <v/>
      </c>
      <c r="K75" s="11">
        <f>IF($J75="","",ROUND($D75*100,0))</f>
        <v/>
      </c>
      <c r="L75" s="4">
        <f>IF($J75="","",IF($J75&gt;=85,"STRONG",IF($J75&gt;=70,"POSITIVE",IF($J75&gt;=55,"WATCH",IF($J75&gt;=40,"WEAK","REJECT")))))</f>
        <v/>
      </c>
      <c r="M75" s="4">
        <f>IF($A75="","",IF($C75&lt;&gt;"ELIGIBLE","Needs verified source / data coverage",IF($D75&lt;0.8,"Provisional coverage","Screened")))</f>
        <v/>
      </c>
    </row>
    <row r="76">
      <c r="A76" s="4">
        <f>IF(Screen_Input!H76="","",Screen_Input!A76)</f>
        <v/>
      </c>
      <c r="B76" s="4">
        <f>IF(Screen_Input!H76="","",Screen_Input!B76)</f>
        <v/>
      </c>
      <c r="C76" s="9">
        <f>IF(Screen_Input!H76="","",IF(OR(Screen_Input!S76&lt;&gt;"verified",Screen_Input!H76=""),"INCOMPLETE","ELIGIBLE"))</f>
        <v/>
      </c>
      <c r="D76" s="4">
        <f>IF($A76="","",COUNT(Screen_Input!I76:Q76)/9)</f>
        <v/>
      </c>
      <c r="E76" s="4">
        <f>IF($A76="","",IF(Screen_Input!K76="","",MIN(100,MAX(0,Screen_Input!K76*100))))</f>
        <v/>
      </c>
      <c r="F76" s="4">
        <f>IF($A76="","",IF(Screen_Input!O76="","",MIN(100,MAX(0,Screen_Input!O76*100))))</f>
        <v/>
      </c>
      <c r="G76" s="4">
        <f>IF($A76="","",IF(Screen_Input!N76="","",MIN(100,MAX(0,100-Screen_Input!N76*20))))</f>
        <v/>
      </c>
      <c r="H76" s="4">
        <f>IF($A76="","",IF(Screen_Input!P76="","",MIN(100,MAX(0,100-Screen_Input!P76*3))))</f>
        <v/>
      </c>
      <c r="I76" s="4">
        <f>IF($A76="","",IF(Screen_Input!S76&lt;&gt;"verified","",50))</f>
        <v/>
      </c>
      <c r="J76" s="10">
        <f>IF(OR($A76="",$D76&lt;0.6,$C76&lt;&gt;"ELIGIBLE"),"",ROUND(($E76*0.25+$F76*0.15+$G76*0.10+$H76*0.20+$I76*0.10+50*0.20),1))</f>
        <v/>
      </c>
      <c r="K76" s="11">
        <f>IF($J76="","",ROUND($D76*100,0))</f>
        <v/>
      </c>
      <c r="L76" s="4">
        <f>IF($J76="","",IF($J76&gt;=85,"STRONG",IF($J76&gt;=70,"POSITIVE",IF($J76&gt;=55,"WATCH",IF($J76&gt;=40,"WEAK","REJECT")))))</f>
        <v/>
      </c>
      <c r="M76" s="4">
        <f>IF($A76="","",IF($C76&lt;&gt;"ELIGIBLE","Needs verified source / data coverage",IF($D76&lt;0.8,"Provisional coverage","Screened")))</f>
        <v/>
      </c>
    </row>
    <row r="77">
      <c r="A77" s="4">
        <f>IF(Screen_Input!H77="","",Screen_Input!A77)</f>
        <v/>
      </c>
      <c r="B77" s="4">
        <f>IF(Screen_Input!H77="","",Screen_Input!B77)</f>
        <v/>
      </c>
      <c r="C77" s="9">
        <f>IF(Screen_Input!H77="","",IF(OR(Screen_Input!S77&lt;&gt;"verified",Screen_Input!H77=""),"INCOMPLETE","ELIGIBLE"))</f>
        <v/>
      </c>
      <c r="D77" s="4">
        <f>IF($A77="","",COUNT(Screen_Input!I77:Q77)/9)</f>
        <v/>
      </c>
      <c r="E77" s="4">
        <f>IF($A77="","",IF(Screen_Input!K77="","",MIN(100,MAX(0,Screen_Input!K77*100))))</f>
        <v/>
      </c>
      <c r="F77" s="4">
        <f>IF($A77="","",IF(Screen_Input!O77="","",MIN(100,MAX(0,Screen_Input!O77*100))))</f>
        <v/>
      </c>
      <c r="G77" s="4">
        <f>IF($A77="","",IF(Screen_Input!N77="","",MIN(100,MAX(0,100-Screen_Input!N77*20))))</f>
        <v/>
      </c>
      <c r="H77" s="4">
        <f>IF($A77="","",IF(Screen_Input!P77="","",MIN(100,MAX(0,100-Screen_Input!P77*3))))</f>
        <v/>
      </c>
      <c r="I77" s="4">
        <f>IF($A77="","",IF(Screen_Input!S77&lt;&gt;"verified","",50))</f>
        <v/>
      </c>
      <c r="J77" s="10">
        <f>IF(OR($A77="",$D77&lt;0.6,$C77&lt;&gt;"ELIGIBLE"),"",ROUND(($E77*0.25+$F77*0.15+$G77*0.10+$H77*0.20+$I77*0.10+50*0.20),1))</f>
        <v/>
      </c>
      <c r="K77" s="11">
        <f>IF($J77="","",ROUND($D77*100,0))</f>
        <v/>
      </c>
      <c r="L77" s="4">
        <f>IF($J77="","",IF($J77&gt;=85,"STRONG",IF($J77&gt;=70,"POSITIVE",IF($J77&gt;=55,"WATCH",IF($J77&gt;=40,"WEAK","REJECT")))))</f>
        <v/>
      </c>
      <c r="M77" s="4">
        <f>IF($A77="","",IF($C77&lt;&gt;"ELIGIBLE","Needs verified source / data coverage",IF($D77&lt;0.8,"Provisional coverage","Screened")))</f>
        <v/>
      </c>
    </row>
    <row r="78">
      <c r="A78" s="4">
        <f>IF(Screen_Input!H78="","",Screen_Input!A78)</f>
        <v/>
      </c>
      <c r="B78" s="4">
        <f>IF(Screen_Input!H78="","",Screen_Input!B78)</f>
        <v/>
      </c>
      <c r="C78" s="9">
        <f>IF(Screen_Input!H78="","",IF(OR(Screen_Input!S78&lt;&gt;"verified",Screen_Input!H78=""),"INCOMPLETE","ELIGIBLE"))</f>
        <v/>
      </c>
      <c r="D78" s="4">
        <f>IF($A78="","",COUNT(Screen_Input!I78:Q78)/9)</f>
        <v/>
      </c>
      <c r="E78" s="4">
        <f>IF($A78="","",IF(Screen_Input!K78="","",MIN(100,MAX(0,Screen_Input!K78*100))))</f>
        <v/>
      </c>
      <c r="F78" s="4">
        <f>IF($A78="","",IF(Screen_Input!O78="","",MIN(100,MAX(0,Screen_Input!O78*100))))</f>
        <v/>
      </c>
      <c r="G78" s="4">
        <f>IF($A78="","",IF(Screen_Input!N78="","",MIN(100,MAX(0,100-Screen_Input!N78*20))))</f>
        <v/>
      </c>
      <c r="H78" s="4">
        <f>IF($A78="","",IF(Screen_Input!P78="","",MIN(100,MAX(0,100-Screen_Input!P78*3))))</f>
        <v/>
      </c>
      <c r="I78" s="4">
        <f>IF($A78="","",IF(Screen_Input!S78&lt;&gt;"verified","",50))</f>
        <v/>
      </c>
      <c r="J78" s="10">
        <f>IF(OR($A78="",$D78&lt;0.6,$C78&lt;&gt;"ELIGIBLE"),"",ROUND(($E78*0.25+$F78*0.15+$G78*0.10+$H78*0.20+$I78*0.10+50*0.20),1))</f>
        <v/>
      </c>
      <c r="K78" s="11">
        <f>IF($J78="","",ROUND($D78*100,0))</f>
        <v/>
      </c>
      <c r="L78" s="4">
        <f>IF($J78="","",IF($J78&gt;=85,"STRONG",IF($J78&gt;=70,"POSITIVE",IF($J78&gt;=55,"WATCH",IF($J78&gt;=40,"WEAK","REJECT")))))</f>
        <v/>
      </c>
      <c r="M78" s="4">
        <f>IF($A78="","",IF($C78&lt;&gt;"ELIGIBLE","Needs verified source / data coverage",IF($D78&lt;0.8,"Provisional coverage","Screened")))</f>
        <v/>
      </c>
    </row>
    <row r="79">
      <c r="A79" s="4">
        <f>IF(Screen_Input!H79="","",Screen_Input!A79)</f>
        <v/>
      </c>
      <c r="B79" s="4">
        <f>IF(Screen_Input!H79="","",Screen_Input!B79)</f>
        <v/>
      </c>
      <c r="C79" s="9">
        <f>IF(Screen_Input!H79="","",IF(OR(Screen_Input!S79&lt;&gt;"verified",Screen_Input!H79=""),"INCOMPLETE","ELIGIBLE"))</f>
        <v/>
      </c>
      <c r="D79" s="4">
        <f>IF($A79="","",COUNT(Screen_Input!I79:Q79)/9)</f>
        <v/>
      </c>
      <c r="E79" s="4">
        <f>IF($A79="","",IF(Screen_Input!K79="","",MIN(100,MAX(0,Screen_Input!K79*100))))</f>
        <v/>
      </c>
      <c r="F79" s="4">
        <f>IF($A79="","",IF(Screen_Input!O79="","",MIN(100,MAX(0,Screen_Input!O79*100))))</f>
        <v/>
      </c>
      <c r="G79" s="4">
        <f>IF($A79="","",IF(Screen_Input!N79="","",MIN(100,MAX(0,100-Screen_Input!N79*20))))</f>
        <v/>
      </c>
      <c r="H79" s="4">
        <f>IF($A79="","",IF(Screen_Input!P79="","",MIN(100,MAX(0,100-Screen_Input!P79*3))))</f>
        <v/>
      </c>
      <c r="I79" s="4">
        <f>IF($A79="","",IF(Screen_Input!S79&lt;&gt;"verified","",50))</f>
        <v/>
      </c>
      <c r="J79" s="10">
        <f>IF(OR($A79="",$D79&lt;0.6,$C79&lt;&gt;"ELIGIBLE"),"",ROUND(($E79*0.25+$F79*0.15+$G79*0.10+$H79*0.20+$I79*0.10+50*0.20),1))</f>
        <v/>
      </c>
      <c r="K79" s="11">
        <f>IF($J79="","",ROUND($D79*100,0))</f>
        <v/>
      </c>
      <c r="L79" s="4">
        <f>IF($J79="","",IF($J79&gt;=85,"STRONG",IF($J79&gt;=70,"POSITIVE",IF($J79&gt;=55,"WATCH",IF($J79&gt;=40,"WEAK","REJECT")))))</f>
        <v/>
      </c>
      <c r="M79" s="4">
        <f>IF($A79="","",IF($C79&lt;&gt;"ELIGIBLE","Needs verified source / data coverage",IF($D79&lt;0.8,"Provisional coverage","Screened")))</f>
        <v/>
      </c>
    </row>
    <row r="80">
      <c r="A80" s="4">
        <f>IF(Screen_Input!H80="","",Screen_Input!A80)</f>
        <v/>
      </c>
      <c r="B80" s="4">
        <f>IF(Screen_Input!H80="","",Screen_Input!B80)</f>
        <v/>
      </c>
      <c r="C80" s="9">
        <f>IF(Screen_Input!H80="","",IF(OR(Screen_Input!S80&lt;&gt;"verified",Screen_Input!H80=""),"INCOMPLETE","ELIGIBLE"))</f>
        <v/>
      </c>
      <c r="D80" s="4">
        <f>IF($A80="","",COUNT(Screen_Input!I80:Q80)/9)</f>
        <v/>
      </c>
      <c r="E80" s="4">
        <f>IF($A80="","",IF(Screen_Input!K80="","",MIN(100,MAX(0,Screen_Input!K80*100))))</f>
        <v/>
      </c>
      <c r="F80" s="4">
        <f>IF($A80="","",IF(Screen_Input!O80="","",MIN(100,MAX(0,Screen_Input!O80*100))))</f>
        <v/>
      </c>
      <c r="G80" s="4">
        <f>IF($A80="","",IF(Screen_Input!N80="","",MIN(100,MAX(0,100-Screen_Input!N80*20))))</f>
        <v/>
      </c>
      <c r="H80" s="4">
        <f>IF($A80="","",IF(Screen_Input!P80="","",MIN(100,MAX(0,100-Screen_Input!P80*3))))</f>
        <v/>
      </c>
      <c r="I80" s="4">
        <f>IF($A80="","",IF(Screen_Input!S80&lt;&gt;"verified","",50))</f>
        <v/>
      </c>
      <c r="J80" s="10">
        <f>IF(OR($A80="",$D80&lt;0.6,$C80&lt;&gt;"ELIGIBLE"),"",ROUND(($E80*0.25+$F80*0.15+$G80*0.10+$H80*0.20+$I80*0.10+50*0.20),1))</f>
        <v/>
      </c>
      <c r="K80" s="11">
        <f>IF($J80="","",ROUND($D80*100,0))</f>
        <v/>
      </c>
      <c r="L80" s="4">
        <f>IF($J80="","",IF($J80&gt;=85,"STRONG",IF($J80&gt;=70,"POSITIVE",IF($J80&gt;=55,"WATCH",IF($J80&gt;=40,"WEAK","REJECT")))))</f>
        <v/>
      </c>
      <c r="M80" s="4">
        <f>IF($A80="","",IF($C80&lt;&gt;"ELIGIBLE","Needs verified source / data coverage",IF($D80&lt;0.8,"Provisional coverage","Screened")))</f>
        <v/>
      </c>
    </row>
    <row r="81">
      <c r="A81" s="4">
        <f>IF(Screen_Input!H81="","",Screen_Input!A81)</f>
        <v/>
      </c>
      <c r="B81" s="4">
        <f>IF(Screen_Input!H81="","",Screen_Input!B81)</f>
        <v/>
      </c>
      <c r="C81" s="9">
        <f>IF(Screen_Input!H81="","",IF(OR(Screen_Input!S81&lt;&gt;"verified",Screen_Input!H81=""),"INCOMPLETE","ELIGIBLE"))</f>
        <v/>
      </c>
      <c r="D81" s="4">
        <f>IF($A81="","",COUNT(Screen_Input!I81:Q81)/9)</f>
        <v/>
      </c>
      <c r="E81" s="4">
        <f>IF($A81="","",IF(Screen_Input!K81="","",MIN(100,MAX(0,Screen_Input!K81*100))))</f>
        <v/>
      </c>
      <c r="F81" s="4">
        <f>IF($A81="","",IF(Screen_Input!O81="","",MIN(100,MAX(0,Screen_Input!O81*100))))</f>
        <v/>
      </c>
      <c r="G81" s="4">
        <f>IF($A81="","",IF(Screen_Input!N81="","",MIN(100,MAX(0,100-Screen_Input!N81*20))))</f>
        <v/>
      </c>
      <c r="H81" s="4">
        <f>IF($A81="","",IF(Screen_Input!P81="","",MIN(100,MAX(0,100-Screen_Input!P81*3))))</f>
        <v/>
      </c>
      <c r="I81" s="4">
        <f>IF($A81="","",IF(Screen_Input!S81&lt;&gt;"verified","",50))</f>
        <v/>
      </c>
      <c r="J81" s="10">
        <f>IF(OR($A81="",$D81&lt;0.6,$C81&lt;&gt;"ELIGIBLE"),"",ROUND(($E81*0.25+$F81*0.15+$G81*0.10+$H81*0.20+$I81*0.10+50*0.20),1))</f>
        <v/>
      </c>
      <c r="K81" s="11">
        <f>IF($J81="","",ROUND($D81*100,0))</f>
        <v/>
      </c>
      <c r="L81" s="4">
        <f>IF($J81="","",IF($J81&gt;=85,"STRONG",IF($J81&gt;=70,"POSITIVE",IF($J81&gt;=55,"WATCH",IF($J81&gt;=40,"WEAK","REJECT")))))</f>
        <v/>
      </c>
      <c r="M81" s="4">
        <f>IF($A81="","",IF($C81&lt;&gt;"ELIGIBLE","Needs verified source / data coverage",IF($D81&lt;0.8,"Provisional coverage","Screened")))</f>
        <v/>
      </c>
    </row>
    <row r="82">
      <c r="A82" s="4">
        <f>IF(Screen_Input!H82="","",Screen_Input!A82)</f>
        <v/>
      </c>
      <c r="B82" s="4">
        <f>IF(Screen_Input!H82="","",Screen_Input!B82)</f>
        <v/>
      </c>
      <c r="C82" s="9">
        <f>IF(Screen_Input!H82="","",IF(OR(Screen_Input!S82&lt;&gt;"verified",Screen_Input!H82=""),"INCOMPLETE","ELIGIBLE"))</f>
        <v/>
      </c>
      <c r="D82" s="4">
        <f>IF($A82="","",COUNT(Screen_Input!I82:Q82)/9)</f>
        <v/>
      </c>
      <c r="E82" s="4">
        <f>IF($A82="","",IF(Screen_Input!K82="","",MIN(100,MAX(0,Screen_Input!K82*100))))</f>
        <v/>
      </c>
      <c r="F82" s="4">
        <f>IF($A82="","",IF(Screen_Input!O82="","",MIN(100,MAX(0,Screen_Input!O82*100))))</f>
        <v/>
      </c>
      <c r="G82" s="4">
        <f>IF($A82="","",IF(Screen_Input!N82="","",MIN(100,MAX(0,100-Screen_Input!N82*20))))</f>
        <v/>
      </c>
      <c r="H82" s="4">
        <f>IF($A82="","",IF(Screen_Input!P82="","",MIN(100,MAX(0,100-Screen_Input!P82*3))))</f>
        <v/>
      </c>
      <c r="I82" s="4">
        <f>IF($A82="","",IF(Screen_Input!S82&lt;&gt;"verified","",50))</f>
        <v/>
      </c>
      <c r="J82" s="10">
        <f>IF(OR($A82="",$D82&lt;0.6,$C82&lt;&gt;"ELIGIBLE"),"",ROUND(($E82*0.25+$F82*0.15+$G82*0.10+$H82*0.20+$I82*0.10+50*0.20),1))</f>
        <v/>
      </c>
      <c r="K82" s="11">
        <f>IF($J82="","",ROUND($D82*100,0))</f>
        <v/>
      </c>
      <c r="L82" s="4">
        <f>IF($J82="","",IF($J82&gt;=85,"STRONG",IF($J82&gt;=70,"POSITIVE",IF($J82&gt;=55,"WATCH",IF($J82&gt;=40,"WEAK","REJECT")))))</f>
        <v/>
      </c>
      <c r="M82" s="4">
        <f>IF($A82="","",IF($C82&lt;&gt;"ELIGIBLE","Needs verified source / data coverage",IF($D82&lt;0.8,"Provisional coverage","Screened")))</f>
        <v/>
      </c>
    </row>
    <row r="83">
      <c r="A83" s="4">
        <f>IF(Screen_Input!H83="","",Screen_Input!A83)</f>
        <v/>
      </c>
      <c r="B83" s="4">
        <f>IF(Screen_Input!H83="","",Screen_Input!B83)</f>
        <v/>
      </c>
      <c r="C83" s="9">
        <f>IF(Screen_Input!H83="","",IF(OR(Screen_Input!S83&lt;&gt;"verified",Screen_Input!H83=""),"INCOMPLETE","ELIGIBLE"))</f>
        <v/>
      </c>
      <c r="D83" s="4">
        <f>IF($A83="","",COUNT(Screen_Input!I83:Q83)/9)</f>
        <v/>
      </c>
      <c r="E83" s="4">
        <f>IF($A83="","",IF(Screen_Input!K83="","",MIN(100,MAX(0,Screen_Input!K83*100))))</f>
        <v/>
      </c>
      <c r="F83" s="4">
        <f>IF($A83="","",IF(Screen_Input!O83="","",MIN(100,MAX(0,Screen_Input!O83*100))))</f>
        <v/>
      </c>
      <c r="G83" s="4">
        <f>IF($A83="","",IF(Screen_Input!N83="","",MIN(100,MAX(0,100-Screen_Input!N83*20))))</f>
        <v/>
      </c>
      <c r="H83" s="4">
        <f>IF($A83="","",IF(Screen_Input!P83="","",MIN(100,MAX(0,100-Screen_Input!P83*3))))</f>
        <v/>
      </c>
      <c r="I83" s="4">
        <f>IF($A83="","",IF(Screen_Input!S83&lt;&gt;"verified","",50))</f>
        <v/>
      </c>
      <c r="J83" s="10">
        <f>IF(OR($A83="",$D83&lt;0.6,$C83&lt;&gt;"ELIGIBLE"),"",ROUND(($E83*0.25+$F83*0.15+$G83*0.10+$H83*0.20+$I83*0.10+50*0.20),1))</f>
        <v/>
      </c>
      <c r="K83" s="11">
        <f>IF($J83="","",ROUND($D83*100,0))</f>
        <v/>
      </c>
      <c r="L83" s="4">
        <f>IF($J83="","",IF($J83&gt;=85,"STRONG",IF($J83&gt;=70,"POSITIVE",IF($J83&gt;=55,"WATCH",IF($J83&gt;=40,"WEAK","REJECT")))))</f>
        <v/>
      </c>
      <c r="M83" s="4">
        <f>IF($A83="","",IF($C83&lt;&gt;"ELIGIBLE","Needs verified source / data coverage",IF($D83&lt;0.8,"Provisional coverage","Screened")))</f>
        <v/>
      </c>
    </row>
    <row r="84">
      <c r="A84" s="4">
        <f>IF(Screen_Input!H84="","",Screen_Input!A84)</f>
        <v/>
      </c>
      <c r="B84" s="4">
        <f>IF(Screen_Input!H84="","",Screen_Input!B84)</f>
        <v/>
      </c>
      <c r="C84" s="9">
        <f>IF(Screen_Input!H84="","",IF(OR(Screen_Input!S84&lt;&gt;"verified",Screen_Input!H84=""),"INCOMPLETE","ELIGIBLE"))</f>
        <v/>
      </c>
      <c r="D84" s="4">
        <f>IF($A84="","",COUNT(Screen_Input!I84:Q84)/9)</f>
        <v/>
      </c>
      <c r="E84" s="4">
        <f>IF($A84="","",IF(Screen_Input!K84="","",MIN(100,MAX(0,Screen_Input!K84*100))))</f>
        <v/>
      </c>
      <c r="F84" s="4">
        <f>IF($A84="","",IF(Screen_Input!O84="","",MIN(100,MAX(0,Screen_Input!O84*100))))</f>
        <v/>
      </c>
      <c r="G84" s="4">
        <f>IF($A84="","",IF(Screen_Input!N84="","",MIN(100,MAX(0,100-Screen_Input!N84*20))))</f>
        <v/>
      </c>
      <c r="H84" s="4">
        <f>IF($A84="","",IF(Screen_Input!P84="","",MIN(100,MAX(0,100-Screen_Input!P84*3))))</f>
        <v/>
      </c>
      <c r="I84" s="4">
        <f>IF($A84="","",IF(Screen_Input!S84&lt;&gt;"verified","",50))</f>
        <v/>
      </c>
      <c r="J84" s="10">
        <f>IF(OR($A84="",$D84&lt;0.6,$C84&lt;&gt;"ELIGIBLE"),"",ROUND(($E84*0.25+$F84*0.15+$G84*0.10+$H84*0.20+$I84*0.10+50*0.20),1))</f>
        <v/>
      </c>
      <c r="K84" s="11">
        <f>IF($J84="","",ROUND($D84*100,0))</f>
        <v/>
      </c>
      <c r="L84" s="4">
        <f>IF($J84="","",IF($J84&gt;=85,"STRONG",IF($J84&gt;=70,"POSITIVE",IF($J84&gt;=55,"WATCH",IF($J84&gt;=40,"WEAK","REJECT")))))</f>
        <v/>
      </c>
      <c r="M84" s="4">
        <f>IF($A84="","",IF($C84&lt;&gt;"ELIGIBLE","Needs verified source / data coverage",IF($D84&lt;0.8,"Provisional coverage","Screened")))</f>
        <v/>
      </c>
    </row>
    <row r="85">
      <c r="A85" s="4">
        <f>IF(Screen_Input!H85="","",Screen_Input!A85)</f>
        <v/>
      </c>
      <c r="B85" s="4">
        <f>IF(Screen_Input!H85="","",Screen_Input!B85)</f>
        <v/>
      </c>
      <c r="C85" s="9">
        <f>IF(Screen_Input!H85="","",IF(OR(Screen_Input!S85&lt;&gt;"verified",Screen_Input!H85=""),"INCOMPLETE","ELIGIBLE"))</f>
        <v/>
      </c>
      <c r="D85" s="4">
        <f>IF($A85="","",COUNT(Screen_Input!I85:Q85)/9)</f>
        <v/>
      </c>
      <c r="E85" s="4">
        <f>IF($A85="","",IF(Screen_Input!K85="","",MIN(100,MAX(0,Screen_Input!K85*100))))</f>
        <v/>
      </c>
      <c r="F85" s="4">
        <f>IF($A85="","",IF(Screen_Input!O85="","",MIN(100,MAX(0,Screen_Input!O85*100))))</f>
        <v/>
      </c>
      <c r="G85" s="4">
        <f>IF($A85="","",IF(Screen_Input!N85="","",MIN(100,MAX(0,100-Screen_Input!N85*20))))</f>
        <v/>
      </c>
      <c r="H85" s="4">
        <f>IF($A85="","",IF(Screen_Input!P85="","",MIN(100,MAX(0,100-Screen_Input!P85*3))))</f>
        <v/>
      </c>
      <c r="I85" s="4">
        <f>IF($A85="","",IF(Screen_Input!S85&lt;&gt;"verified","",50))</f>
        <v/>
      </c>
      <c r="J85" s="10">
        <f>IF(OR($A85="",$D85&lt;0.6,$C85&lt;&gt;"ELIGIBLE"),"",ROUND(($E85*0.25+$F85*0.15+$G85*0.10+$H85*0.20+$I85*0.10+50*0.20),1))</f>
        <v/>
      </c>
      <c r="K85" s="11">
        <f>IF($J85="","",ROUND($D85*100,0))</f>
        <v/>
      </c>
      <c r="L85" s="4">
        <f>IF($J85="","",IF($J85&gt;=85,"STRONG",IF($J85&gt;=70,"POSITIVE",IF($J85&gt;=55,"WATCH",IF($J85&gt;=40,"WEAK","REJECT")))))</f>
        <v/>
      </c>
      <c r="M85" s="4">
        <f>IF($A85="","",IF($C85&lt;&gt;"ELIGIBLE","Needs verified source / data coverage",IF($D85&lt;0.8,"Provisional coverage","Screened")))</f>
        <v/>
      </c>
    </row>
    <row r="86">
      <c r="A86" s="4">
        <f>IF(Screen_Input!H86="","",Screen_Input!A86)</f>
        <v/>
      </c>
      <c r="B86" s="4">
        <f>IF(Screen_Input!H86="","",Screen_Input!B86)</f>
        <v/>
      </c>
      <c r="C86" s="9">
        <f>IF(Screen_Input!H86="","",IF(OR(Screen_Input!S86&lt;&gt;"verified",Screen_Input!H86=""),"INCOMPLETE","ELIGIBLE"))</f>
        <v/>
      </c>
      <c r="D86" s="4">
        <f>IF($A86="","",COUNT(Screen_Input!I86:Q86)/9)</f>
        <v/>
      </c>
      <c r="E86" s="4">
        <f>IF($A86="","",IF(Screen_Input!K86="","",MIN(100,MAX(0,Screen_Input!K86*100))))</f>
        <v/>
      </c>
      <c r="F86" s="4">
        <f>IF($A86="","",IF(Screen_Input!O86="","",MIN(100,MAX(0,Screen_Input!O86*100))))</f>
        <v/>
      </c>
      <c r="G86" s="4">
        <f>IF($A86="","",IF(Screen_Input!N86="","",MIN(100,MAX(0,100-Screen_Input!N86*20))))</f>
        <v/>
      </c>
      <c r="H86" s="4">
        <f>IF($A86="","",IF(Screen_Input!P86="","",MIN(100,MAX(0,100-Screen_Input!P86*3))))</f>
        <v/>
      </c>
      <c r="I86" s="4">
        <f>IF($A86="","",IF(Screen_Input!S86&lt;&gt;"verified","",50))</f>
        <v/>
      </c>
      <c r="J86" s="10">
        <f>IF(OR($A86="",$D86&lt;0.6,$C86&lt;&gt;"ELIGIBLE"),"",ROUND(($E86*0.25+$F86*0.15+$G86*0.10+$H86*0.20+$I86*0.10+50*0.20),1))</f>
        <v/>
      </c>
      <c r="K86" s="11">
        <f>IF($J86="","",ROUND($D86*100,0))</f>
        <v/>
      </c>
      <c r="L86" s="4">
        <f>IF($J86="","",IF($J86&gt;=85,"STRONG",IF($J86&gt;=70,"POSITIVE",IF($J86&gt;=55,"WATCH",IF($J86&gt;=40,"WEAK","REJECT")))))</f>
        <v/>
      </c>
      <c r="M86" s="4">
        <f>IF($A86="","",IF($C86&lt;&gt;"ELIGIBLE","Needs verified source / data coverage",IF($D86&lt;0.8,"Provisional coverage","Screened")))</f>
        <v/>
      </c>
    </row>
    <row r="87">
      <c r="A87" s="4">
        <f>IF(Screen_Input!H87="","",Screen_Input!A87)</f>
        <v/>
      </c>
      <c r="B87" s="4">
        <f>IF(Screen_Input!H87="","",Screen_Input!B87)</f>
        <v/>
      </c>
      <c r="C87" s="9">
        <f>IF(Screen_Input!H87="","",IF(OR(Screen_Input!S87&lt;&gt;"verified",Screen_Input!H87=""),"INCOMPLETE","ELIGIBLE"))</f>
        <v/>
      </c>
      <c r="D87" s="4">
        <f>IF($A87="","",COUNT(Screen_Input!I87:Q87)/9)</f>
        <v/>
      </c>
      <c r="E87" s="4">
        <f>IF($A87="","",IF(Screen_Input!K87="","",MIN(100,MAX(0,Screen_Input!K87*100))))</f>
        <v/>
      </c>
      <c r="F87" s="4">
        <f>IF($A87="","",IF(Screen_Input!O87="","",MIN(100,MAX(0,Screen_Input!O87*100))))</f>
        <v/>
      </c>
      <c r="G87" s="4">
        <f>IF($A87="","",IF(Screen_Input!N87="","",MIN(100,MAX(0,100-Screen_Input!N87*20))))</f>
        <v/>
      </c>
      <c r="H87" s="4">
        <f>IF($A87="","",IF(Screen_Input!P87="","",MIN(100,MAX(0,100-Screen_Input!P87*3))))</f>
        <v/>
      </c>
      <c r="I87" s="4">
        <f>IF($A87="","",IF(Screen_Input!S87&lt;&gt;"verified","",50))</f>
        <v/>
      </c>
      <c r="J87" s="10">
        <f>IF(OR($A87="",$D87&lt;0.6,$C87&lt;&gt;"ELIGIBLE"),"",ROUND(($E87*0.25+$F87*0.15+$G87*0.10+$H87*0.20+$I87*0.10+50*0.20),1))</f>
        <v/>
      </c>
      <c r="K87" s="11">
        <f>IF($J87="","",ROUND($D87*100,0))</f>
        <v/>
      </c>
      <c r="L87" s="4">
        <f>IF($J87="","",IF($J87&gt;=85,"STRONG",IF($J87&gt;=70,"POSITIVE",IF($J87&gt;=55,"WATCH",IF($J87&gt;=40,"WEAK","REJECT")))))</f>
        <v/>
      </c>
      <c r="M87" s="4">
        <f>IF($A87="","",IF($C87&lt;&gt;"ELIGIBLE","Needs verified source / data coverage",IF($D87&lt;0.8,"Provisional coverage","Screened")))</f>
        <v/>
      </c>
    </row>
    <row r="88">
      <c r="A88" s="4">
        <f>IF(Screen_Input!H88="","",Screen_Input!A88)</f>
        <v/>
      </c>
      <c r="B88" s="4">
        <f>IF(Screen_Input!H88="","",Screen_Input!B88)</f>
        <v/>
      </c>
      <c r="C88" s="9">
        <f>IF(Screen_Input!H88="","",IF(OR(Screen_Input!S88&lt;&gt;"verified",Screen_Input!H88=""),"INCOMPLETE","ELIGIBLE"))</f>
        <v/>
      </c>
      <c r="D88" s="4">
        <f>IF($A88="","",COUNT(Screen_Input!I88:Q88)/9)</f>
        <v/>
      </c>
      <c r="E88" s="4">
        <f>IF($A88="","",IF(Screen_Input!K88="","",MIN(100,MAX(0,Screen_Input!K88*100))))</f>
        <v/>
      </c>
      <c r="F88" s="4">
        <f>IF($A88="","",IF(Screen_Input!O88="","",MIN(100,MAX(0,Screen_Input!O88*100))))</f>
        <v/>
      </c>
      <c r="G88" s="4">
        <f>IF($A88="","",IF(Screen_Input!N88="","",MIN(100,MAX(0,100-Screen_Input!N88*20))))</f>
        <v/>
      </c>
      <c r="H88" s="4">
        <f>IF($A88="","",IF(Screen_Input!P88="","",MIN(100,MAX(0,100-Screen_Input!P88*3))))</f>
        <v/>
      </c>
      <c r="I88" s="4">
        <f>IF($A88="","",IF(Screen_Input!S88&lt;&gt;"verified","",50))</f>
        <v/>
      </c>
      <c r="J88" s="10">
        <f>IF(OR($A88="",$D88&lt;0.6,$C88&lt;&gt;"ELIGIBLE"),"",ROUND(($E88*0.25+$F88*0.15+$G88*0.10+$H88*0.20+$I88*0.10+50*0.20),1))</f>
        <v/>
      </c>
      <c r="K88" s="11">
        <f>IF($J88="","",ROUND($D88*100,0))</f>
        <v/>
      </c>
      <c r="L88" s="4">
        <f>IF($J88="","",IF($J88&gt;=85,"STRONG",IF($J88&gt;=70,"POSITIVE",IF($J88&gt;=55,"WATCH",IF($J88&gt;=40,"WEAK","REJECT")))))</f>
        <v/>
      </c>
      <c r="M88" s="4">
        <f>IF($A88="","",IF($C88&lt;&gt;"ELIGIBLE","Needs verified source / data coverage",IF($D88&lt;0.8,"Provisional coverage","Screened")))</f>
        <v/>
      </c>
    </row>
    <row r="89">
      <c r="A89" s="4">
        <f>IF(Screen_Input!H89="","",Screen_Input!A89)</f>
        <v/>
      </c>
      <c r="B89" s="4">
        <f>IF(Screen_Input!H89="","",Screen_Input!B89)</f>
        <v/>
      </c>
      <c r="C89" s="9">
        <f>IF(Screen_Input!H89="","",IF(OR(Screen_Input!S89&lt;&gt;"verified",Screen_Input!H89=""),"INCOMPLETE","ELIGIBLE"))</f>
        <v/>
      </c>
      <c r="D89" s="4">
        <f>IF($A89="","",COUNT(Screen_Input!I89:Q89)/9)</f>
        <v/>
      </c>
      <c r="E89" s="4">
        <f>IF($A89="","",IF(Screen_Input!K89="","",MIN(100,MAX(0,Screen_Input!K89*100))))</f>
        <v/>
      </c>
      <c r="F89" s="4">
        <f>IF($A89="","",IF(Screen_Input!O89="","",MIN(100,MAX(0,Screen_Input!O89*100))))</f>
        <v/>
      </c>
      <c r="G89" s="4">
        <f>IF($A89="","",IF(Screen_Input!N89="","",MIN(100,MAX(0,100-Screen_Input!N89*20))))</f>
        <v/>
      </c>
      <c r="H89" s="4">
        <f>IF($A89="","",IF(Screen_Input!P89="","",MIN(100,MAX(0,100-Screen_Input!P89*3))))</f>
        <v/>
      </c>
      <c r="I89" s="4">
        <f>IF($A89="","",IF(Screen_Input!S89&lt;&gt;"verified","",50))</f>
        <v/>
      </c>
      <c r="J89" s="10">
        <f>IF(OR($A89="",$D89&lt;0.6,$C89&lt;&gt;"ELIGIBLE"),"",ROUND(($E89*0.25+$F89*0.15+$G89*0.10+$H89*0.20+$I89*0.10+50*0.20),1))</f>
        <v/>
      </c>
      <c r="K89" s="11">
        <f>IF($J89="","",ROUND($D89*100,0))</f>
        <v/>
      </c>
      <c r="L89" s="4">
        <f>IF($J89="","",IF($J89&gt;=85,"STRONG",IF($J89&gt;=70,"POSITIVE",IF($J89&gt;=55,"WATCH",IF($J89&gt;=40,"WEAK","REJECT")))))</f>
        <v/>
      </c>
      <c r="M89" s="4">
        <f>IF($A89="","",IF($C89&lt;&gt;"ELIGIBLE","Needs verified source / data coverage",IF($D89&lt;0.8,"Provisional coverage","Screened")))</f>
        <v/>
      </c>
    </row>
    <row r="90">
      <c r="A90" s="4">
        <f>IF(Screen_Input!H90="","",Screen_Input!A90)</f>
        <v/>
      </c>
      <c r="B90" s="4">
        <f>IF(Screen_Input!H90="","",Screen_Input!B90)</f>
        <v/>
      </c>
      <c r="C90" s="9">
        <f>IF(Screen_Input!H90="","",IF(OR(Screen_Input!S90&lt;&gt;"verified",Screen_Input!H90=""),"INCOMPLETE","ELIGIBLE"))</f>
        <v/>
      </c>
      <c r="D90" s="4">
        <f>IF($A90="","",COUNT(Screen_Input!I90:Q90)/9)</f>
        <v/>
      </c>
      <c r="E90" s="4">
        <f>IF($A90="","",IF(Screen_Input!K90="","",MIN(100,MAX(0,Screen_Input!K90*100))))</f>
        <v/>
      </c>
      <c r="F90" s="4">
        <f>IF($A90="","",IF(Screen_Input!O90="","",MIN(100,MAX(0,Screen_Input!O90*100))))</f>
        <v/>
      </c>
      <c r="G90" s="4">
        <f>IF($A90="","",IF(Screen_Input!N90="","",MIN(100,MAX(0,100-Screen_Input!N90*20))))</f>
        <v/>
      </c>
      <c r="H90" s="4">
        <f>IF($A90="","",IF(Screen_Input!P90="","",MIN(100,MAX(0,100-Screen_Input!P90*3))))</f>
        <v/>
      </c>
      <c r="I90" s="4">
        <f>IF($A90="","",IF(Screen_Input!S90&lt;&gt;"verified","",50))</f>
        <v/>
      </c>
      <c r="J90" s="10">
        <f>IF(OR($A90="",$D90&lt;0.6,$C90&lt;&gt;"ELIGIBLE"),"",ROUND(($E90*0.25+$F90*0.15+$G90*0.10+$H90*0.20+$I90*0.10+50*0.20),1))</f>
        <v/>
      </c>
      <c r="K90" s="11">
        <f>IF($J90="","",ROUND($D90*100,0))</f>
        <v/>
      </c>
      <c r="L90" s="4">
        <f>IF($J90="","",IF($J90&gt;=85,"STRONG",IF($J90&gt;=70,"POSITIVE",IF($J90&gt;=55,"WATCH",IF($J90&gt;=40,"WEAK","REJECT")))))</f>
        <v/>
      </c>
      <c r="M90" s="4">
        <f>IF($A90="","",IF($C90&lt;&gt;"ELIGIBLE","Needs verified source / data coverage",IF($D90&lt;0.8,"Provisional coverage","Screened")))</f>
        <v/>
      </c>
    </row>
    <row r="91">
      <c r="A91" s="4">
        <f>IF(Screen_Input!H91="","",Screen_Input!A91)</f>
        <v/>
      </c>
      <c r="B91" s="4">
        <f>IF(Screen_Input!H91="","",Screen_Input!B91)</f>
        <v/>
      </c>
      <c r="C91" s="9">
        <f>IF(Screen_Input!H91="","",IF(OR(Screen_Input!S91&lt;&gt;"verified",Screen_Input!H91=""),"INCOMPLETE","ELIGIBLE"))</f>
        <v/>
      </c>
      <c r="D91" s="4">
        <f>IF($A91="","",COUNT(Screen_Input!I91:Q91)/9)</f>
        <v/>
      </c>
      <c r="E91" s="4">
        <f>IF($A91="","",IF(Screen_Input!K91="","",MIN(100,MAX(0,Screen_Input!K91*100))))</f>
        <v/>
      </c>
      <c r="F91" s="4">
        <f>IF($A91="","",IF(Screen_Input!O91="","",MIN(100,MAX(0,Screen_Input!O91*100))))</f>
        <v/>
      </c>
      <c r="G91" s="4">
        <f>IF($A91="","",IF(Screen_Input!N91="","",MIN(100,MAX(0,100-Screen_Input!N91*20))))</f>
        <v/>
      </c>
      <c r="H91" s="4">
        <f>IF($A91="","",IF(Screen_Input!P91="","",MIN(100,MAX(0,100-Screen_Input!P91*3))))</f>
        <v/>
      </c>
      <c r="I91" s="4">
        <f>IF($A91="","",IF(Screen_Input!S91&lt;&gt;"verified","",50))</f>
        <v/>
      </c>
      <c r="J91" s="10">
        <f>IF(OR($A91="",$D91&lt;0.6,$C91&lt;&gt;"ELIGIBLE"),"",ROUND(($E91*0.25+$F91*0.15+$G91*0.10+$H91*0.20+$I91*0.10+50*0.20),1))</f>
        <v/>
      </c>
      <c r="K91" s="11">
        <f>IF($J91="","",ROUND($D91*100,0))</f>
        <v/>
      </c>
      <c r="L91" s="4">
        <f>IF($J91="","",IF($J91&gt;=85,"STRONG",IF($J91&gt;=70,"POSITIVE",IF($J91&gt;=55,"WATCH",IF($J91&gt;=40,"WEAK","REJECT")))))</f>
        <v/>
      </c>
      <c r="M91" s="4">
        <f>IF($A91="","",IF($C91&lt;&gt;"ELIGIBLE","Needs verified source / data coverage",IF($D91&lt;0.8,"Provisional coverage","Screened")))</f>
        <v/>
      </c>
    </row>
    <row r="92">
      <c r="A92" s="4">
        <f>IF(Screen_Input!H92="","",Screen_Input!A92)</f>
        <v/>
      </c>
      <c r="B92" s="4">
        <f>IF(Screen_Input!H92="","",Screen_Input!B92)</f>
        <v/>
      </c>
      <c r="C92" s="9">
        <f>IF(Screen_Input!H92="","",IF(OR(Screen_Input!S92&lt;&gt;"verified",Screen_Input!H92=""),"INCOMPLETE","ELIGIBLE"))</f>
        <v/>
      </c>
      <c r="D92" s="4">
        <f>IF($A92="","",COUNT(Screen_Input!I92:Q92)/9)</f>
        <v/>
      </c>
      <c r="E92" s="4">
        <f>IF($A92="","",IF(Screen_Input!K92="","",MIN(100,MAX(0,Screen_Input!K92*100))))</f>
        <v/>
      </c>
      <c r="F92" s="4">
        <f>IF($A92="","",IF(Screen_Input!O92="","",MIN(100,MAX(0,Screen_Input!O92*100))))</f>
        <v/>
      </c>
      <c r="G92" s="4">
        <f>IF($A92="","",IF(Screen_Input!N92="","",MIN(100,MAX(0,100-Screen_Input!N92*20))))</f>
        <v/>
      </c>
      <c r="H92" s="4">
        <f>IF($A92="","",IF(Screen_Input!P92="","",MIN(100,MAX(0,100-Screen_Input!P92*3))))</f>
        <v/>
      </c>
      <c r="I92" s="4">
        <f>IF($A92="","",IF(Screen_Input!S92&lt;&gt;"verified","",50))</f>
        <v/>
      </c>
      <c r="J92" s="10">
        <f>IF(OR($A92="",$D92&lt;0.6,$C92&lt;&gt;"ELIGIBLE"),"",ROUND(($E92*0.25+$F92*0.15+$G92*0.10+$H92*0.20+$I92*0.10+50*0.20),1))</f>
        <v/>
      </c>
      <c r="K92" s="11">
        <f>IF($J92="","",ROUND($D92*100,0))</f>
        <v/>
      </c>
      <c r="L92" s="4">
        <f>IF($J92="","",IF($J92&gt;=85,"STRONG",IF($J92&gt;=70,"POSITIVE",IF($J92&gt;=55,"WATCH",IF($J92&gt;=40,"WEAK","REJECT")))))</f>
        <v/>
      </c>
      <c r="M92" s="4">
        <f>IF($A92="","",IF($C92&lt;&gt;"ELIGIBLE","Needs verified source / data coverage",IF($D92&lt;0.8,"Provisional coverage","Screened")))</f>
        <v/>
      </c>
    </row>
    <row r="93">
      <c r="A93" s="4">
        <f>IF(Screen_Input!H93="","",Screen_Input!A93)</f>
        <v/>
      </c>
      <c r="B93" s="4">
        <f>IF(Screen_Input!H93="","",Screen_Input!B93)</f>
        <v/>
      </c>
      <c r="C93" s="9">
        <f>IF(Screen_Input!H93="","",IF(OR(Screen_Input!S93&lt;&gt;"verified",Screen_Input!H93=""),"INCOMPLETE","ELIGIBLE"))</f>
        <v/>
      </c>
      <c r="D93" s="4">
        <f>IF($A93="","",COUNT(Screen_Input!I93:Q93)/9)</f>
        <v/>
      </c>
      <c r="E93" s="4">
        <f>IF($A93="","",IF(Screen_Input!K93="","",MIN(100,MAX(0,Screen_Input!K93*100))))</f>
        <v/>
      </c>
      <c r="F93" s="4">
        <f>IF($A93="","",IF(Screen_Input!O93="","",MIN(100,MAX(0,Screen_Input!O93*100))))</f>
        <v/>
      </c>
      <c r="G93" s="4">
        <f>IF($A93="","",IF(Screen_Input!N93="","",MIN(100,MAX(0,100-Screen_Input!N93*20))))</f>
        <v/>
      </c>
      <c r="H93" s="4">
        <f>IF($A93="","",IF(Screen_Input!P93="","",MIN(100,MAX(0,100-Screen_Input!P93*3))))</f>
        <v/>
      </c>
      <c r="I93" s="4">
        <f>IF($A93="","",IF(Screen_Input!S93&lt;&gt;"verified","",50))</f>
        <v/>
      </c>
      <c r="J93" s="10">
        <f>IF(OR($A93="",$D93&lt;0.6,$C93&lt;&gt;"ELIGIBLE"),"",ROUND(($E93*0.25+$F93*0.15+$G93*0.10+$H93*0.20+$I93*0.10+50*0.20),1))</f>
        <v/>
      </c>
      <c r="K93" s="11">
        <f>IF($J93="","",ROUND($D93*100,0))</f>
        <v/>
      </c>
      <c r="L93" s="4">
        <f>IF($J93="","",IF($J93&gt;=85,"STRONG",IF($J93&gt;=70,"POSITIVE",IF($J93&gt;=55,"WATCH",IF($J93&gt;=40,"WEAK","REJECT")))))</f>
        <v/>
      </c>
      <c r="M93" s="4">
        <f>IF($A93="","",IF($C93&lt;&gt;"ELIGIBLE","Needs verified source / data coverage",IF($D93&lt;0.8,"Provisional coverage","Screened")))</f>
        <v/>
      </c>
    </row>
    <row r="94">
      <c r="A94" s="4">
        <f>IF(Screen_Input!H94="","",Screen_Input!A94)</f>
        <v/>
      </c>
      <c r="B94" s="4">
        <f>IF(Screen_Input!H94="","",Screen_Input!B94)</f>
        <v/>
      </c>
      <c r="C94" s="9">
        <f>IF(Screen_Input!H94="","",IF(OR(Screen_Input!S94&lt;&gt;"verified",Screen_Input!H94=""),"INCOMPLETE","ELIGIBLE"))</f>
        <v/>
      </c>
      <c r="D94" s="4">
        <f>IF($A94="","",COUNT(Screen_Input!I94:Q94)/9)</f>
        <v/>
      </c>
      <c r="E94" s="4">
        <f>IF($A94="","",IF(Screen_Input!K94="","",MIN(100,MAX(0,Screen_Input!K94*100))))</f>
        <v/>
      </c>
      <c r="F94" s="4">
        <f>IF($A94="","",IF(Screen_Input!O94="","",MIN(100,MAX(0,Screen_Input!O94*100))))</f>
        <v/>
      </c>
      <c r="G94" s="4">
        <f>IF($A94="","",IF(Screen_Input!N94="","",MIN(100,MAX(0,100-Screen_Input!N94*20))))</f>
        <v/>
      </c>
      <c r="H94" s="4">
        <f>IF($A94="","",IF(Screen_Input!P94="","",MIN(100,MAX(0,100-Screen_Input!P94*3))))</f>
        <v/>
      </c>
      <c r="I94" s="4">
        <f>IF($A94="","",IF(Screen_Input!S94&lt;&gt;"verified","",50))</f>
        <v/>
      </c>
      <c r="J94" s="10">
        <f>IF(OR($A94="",$D94&lt;0.6,$C94&lt;&gt;"ELIGIBLE"),"",ROUND(($E94*0.25+$F94*0.15+$G94*0.10+$H94*0.20+$I94*0.10+50*0.20),1))</f>
        <v/>
      </c>
      <c r="K94" s="11">
        <f>IF($J94="","",ROUND($D94*100,0))</f>
        <v/>
      </c>
      <c r="L94" s="4">
        <f>IF($J94="","",IF($J94&gt;=85,"STRONG",IF($J94&gt;=70,"POSITIVE",IF($J94&gt;=55,"WATCH",IF($J94&gt;=40,"WEAK","REJECT")))))</f>
        <v/>
      </c>
      <c r="M94" s="4">
        <f>IF($A94="","",IF($C94&lt;&gt;"ELIGIBLE","Needs verified source / data coverage",IF($D94&lt;0.8,"Provisional coverage","Screened")))</f>
        <v/>
      </c>
    </row>
    <row r="95">
      <c r="A95" s="4">
        <f>IF(Screen_Input!H95="","",Screen_Input!A95)</f>
        <v/>
      </c>
      <c r="B95" s="4">
        <f>IF(Screen_Input!H95="","",Screen_Input!B95)</f>
        <v/>
      </c>
      <c r="C95" s="9">
        <f>IF(Screen_Input!H95="","",IF(OR(Screen_Input!S95&lt;&gt;"verified",Screen_Input!H95=""),"INCOMPLETE","ELIGIBLE"))</f>
        <v/>
      </c>
      <c r="D95" s="4">
        <f>IF($A95="","",COUNT(Screen_Input!I95:Q95)/9)</f>
        <v/>
      </c>
      <c r="E95" s="4">
        <f>IF($A95="","",IF(Screen_Input!K95="","",MIN(100,MAX(0,Screen_Input!K95*100))))</f>
        <v/>
      </c>
      <c r="F95" s="4">
        <f>IF($A95="","",IF(Screen_Input!O95="","",MIN(100,MAX(0,Screen_Input!O95*100))))</f>
        <v/>
      </c>
      <c r="G95" s="4">
        <f>IF($A95="","",IF(Screen_Input!N95="","",MIN(100,MAX(0,100-Screen_Input!N95*20))))</f>
        <v/>
      </c>
      <c r="H95" s="4">
        <f>IF($A95="","",IF(Screen_Input!P95="","",MIN(100,MAX(0,100-Screen_Input!P95*3))))</f>
        <v/>
      </c>
      <c r="I95" s="4">
        <f>IF($A95="","",IF(Screen_Input!S95&lt;&gt;"verified","",50))</f>
        <v/>
      </c>
      <c r="J95" s="10">
        <f>IF(OR($A95="",$D95&lt;0.6,$C95&lt;&gt;"ELIGIBLE"),"",ROUND(($E95*0.25+$F95*0.15+$G95*0.10+$H95*0.20+$I95*0.10+50*0.20),1))</f>
        <v/>
      </c>
      <c r="K95" s="11">
        <f>IF($J95="","",ROUND($D95*100,0))</f>
        <v/>
      </c>
      <c r="L95" s="4">
        <f>IF($J95="","",IF($J95&gt;=85,"STRONG",IF($J95&gt;=70,"POSITIVE",IF($J95&gt;=55,"WATCH",IF($J95&gt;=40,"WEAK","REJECT")))))</f>
        <v/>
      </c>
      <c r="M95" s="4">
        <f>IF($A95="","",IF($C95&lt;&gt;"ELIGIBLE","Needs verified source / data coverage",IF($D95&lt;0.8,"Provisional coverage","Screened")))</f>
        <v/>
      </c>
    </row>
    <row r="96">
      <c r="A96" s="4">
        <f>IF(Screen_Input!H96="","",Screen_Input!A96)</f>
        <v/>
      </c>
      <c r="B96" s="4">
        <f>IF(Screen_Input!H96="","",Screen_Input!B96)</f>
        <v/>
      </c>
      <c r="C96" s="9">
        <f>IF(Screen_Input!H96="","",IF(OR(Screen_Input!S96&lt;&gt;"verified",Screen_Input!H96=""),"INCOMPLETE","ELIGIBLE"))</f>
        <v/>
      </c>
      <c r="D96" s="4">
        <f>IF($A96="","",COUNT(Screen_Input!I96:Q96)/9)</f>
        <v/>
      </c>
      <c r="E96" s="4">
        <f>IF($A96="","",IF(Screen_Input!K96="","",MIN(100,MAX(0,Screen_Input!K96*100))))</f>
        <v/>
      </c>
      <c r="F96" s="4">
        <f>IF($A96="","",IF(Screen_Input!O96="","",MIN(100,MAX(0,Screen_Input!O96*100))))</f>
        <v/>
      </c>
      <c r="G96" s="4">
        <f>IF($A96="","",IF(Screen_Input!N96="","",MIN(100,MAX(0,100-Screen_Input!N96*20))))</f>
        <v/>
      </c>
      <c r="H96" s="4">
        <f>IF($A96="","",IF(Screen_Input!P96="","",MIN(100,MAX(0,100-Screen_Input!P96*3))))</f>
        <v/>
      </c>
      <c r="I96" s="4">
        <f>IF($A96="","",IF(Screen_Input!S96&lt;&gt;"verified","",50))</f>
        <v/>
      </c>
      <c r="J96" s="10">
        <f>IF(OR($A96="",$D96&lt;0.6,$C96&lt;&gt;"ELIGIBLE"),"",ROUND(($E96*0.25+$F96*0.15+$G96*0.10+$H96*0.20+$I96*0.10+50*0.20),1))</f>
        <v/>
      </c>
      <c r="K96" s="11">
        <f>IF($J96="","",ROUND($D96*100,0))</f>
        <v/>
      </c>
      <c r="L96" s="4">
        <f>IF($J96="","",IF($J96&gt;=85,"STRONG",IF($J96&gt;=70,"POSITIVE",IF($J96&gt;=55,"WATCH",IF($J96&gt;=40,"WEAK","REJECT")))))</f>
        <v/>
      </c>
      <c r="M96" s="4">
        <f>IF($A96="","",IF($C96&lt;&gt;"ELIGIBLE","Needs verified source / data coverage",IF($D96&lt;0.8,"Provisional coverage","Screened")))</f>
        <v/>
      </c>
    </row>
    <row r="97">
      <c r="A97" s="4">
        <f>IF(Screen_Input!H97="","",Screen_Input!A97)</f>
        <v/>
      </c>
      <c r="B97" s="4">
        <f>IF(Screen_Input!H97="","",Screen_Input!B97)</f>
        <v/>
      </c>
      <c r="C97" s="9">
        <f>IF(Screen_Input!H97="","",IF(OR(Screen_Input!S97&lt;&gt;"verified",Screen_Input!H97=""),"INCOMPLETE","ELIGIBLE"))</f>
        <v/>
      </c>
      <c r="D97" s="4">
        <f>IF($A97="","",COUNT(Screen_Input!I97:Q97)/9)</f>
        <v/>
      </c>
      <c r="E97" s="4">
        <f>IF($A97="","",IF(Screen_Input!K97="","",MIN(100,MAX(0,Screen_Input!K97*100))))</f>
        <v/>
      </c>
      <c r="F97" s="4">
        <f>IF($A97="","",IF(Screen_Input!O97="","",MIN(100,MAX(0,Screen_Input!O97*100))))</f>
        <v/>
      </c>
      <c r="G97" s="4">
        <f>IF($A97="","",IF(Screen_Input!N97="","",MIN(100,MAX(0,100-Screen_Input!N97*20))))</f>
        <v/>
      </c>
      <c r="H97" s="4">
        <f>IF($A97="","",IF(Screen_Input!P97="","",MIN(100,MAX(0,100-Screen_Input!P97*3))))</f>
        <v/>
      </c>
      <c r="I97" s="4">
        <f>IF($A97="","",IF(Screen_Input!S97&lt;&gt;"verified","",50))</f>
        <v/>
      </c>
      <c r="J97" s="10">
        <f>IF(OR($A97="",$D97&lt;0.6,$C97&lt;&gt;"ELIGIBLE"),"",ROUND(($E97*0.25+$F97*0.15+$G97*0.10+$H97*0.20+$I97*0.10+50*0.20),1))</f>
        <v/>
      </c>
      <c r="K97" s="11">
        <f>IF($J97="","",ROUND($D97*100,0))</f>
        <v/>
      </c>
      <c r="L97" s="4">
        <f>IF($J97="","",IF($J97&gt;=85,"STRONG",IF($J97&gt;=70,"POSITIVE",IF($J97&gt;=55,"WATCH",IF($J97&gt;=40,"WEAK","REJECT")))))</f>
        <v/>
      </c>
      <c r="M97" s="4">
        <f>IF($A97="","",IF($C97&lt;&gt;"ELIGIBLE","Needs verified source / data coverage",IF($D97&lt;0.8,"Provisional coverage","Screened")))</f>
        <v/>
      </c>
    </row>
    <row r="98">
      <c r="A98" s="4">
        <f>IF(Screen_Input!H98="","",Screen_Input!A98)</f>
        <v/>
      </c>
      <c r="B98" s="4">
        <f>IF(Screen_Input!H98="","",Screen_Input!B98)</f>
        <v/>
      </c>
      <c r="C98" s="9">
        <f>IF(Screen_Input!H98="","",IF(OR(Screen_Input!S98&lt;&gt;"verified",Screen_Input!H98=""),"INCOMPLETE","ELIGIBLE"))</f>
        <v/>
      </c>
      <c r="D98" s="4">
        <f>IF($A98="","",COUNT(Screen_Input!I98:Q98)/9)</f>
        <v/>
      </c>
      <c r="E98" s="4">
        <f>IF($A98="","",IF(Screen_Input!K98="","",MIN(100,MAX(0,Screen_Input!K98*100))))</f>
        <v/>
      </c>
      <c r="F98" s="4">
        <f>IF($A98="","",IF(Screen_Input!O98="","",MIN(100,MAX(0,Screen_Input!O98*100))))</f>
        <v/>
      </c>
      <c r="G98" s="4">
        <f>IF($A98="","",IF(Screen_Input!N98="","",MIN(100,MAX(0,100-Screen_Input!N98*20))))</f>
        <v/>
      </c>
      <c r="H98" s="4">
        <f>IF($A98="","",IF(Screen_Input!P98="","",MIN(100,MAX(0,100-Screen_Input!P98*3))))</f>
        <v/>
      </c>
      <c r="I98" s="4">
        <f>IF($A98="","",IF(Screen_Input!S98&lt;&gt;"verified","",50))</f>
        <v/>
      </c>
      <c r="J98" s="10">
        <f>IF(OR($A98="",$D98&lt;0.6,$C98&lt;&gt;"ELIGIBLE"),"",ROUND(($E98*0.25+$F98*0.15+$G98*0.10+$H98*0.20+$I98*0.10+50*0.20),1))</f>
        <v/>
      </c>
      <c r="K98" s="11">
        <f>IF($J98="","",ROUND($D98*100,0))</f>
        <v/>
      </c>
      <c r="L98" s="4">
        <f>IF($J98="","",IF($J98&gt;=85,"STRONG",IF($J98&gt;=70,"POSITIVE",IF($J98&gt;=55,"WATCH",IF($J98&gt;=40,"WEAK","REJECT")))))</f>
        <v/>
      </c>
      <c r="M98" s="4">
        <f>IF($A98="","",IF($C98&lt;&gt;"ELIGIBLE","Needs verified source / data coverage",IF($D98&lt;0.8,"Provisional coverage","Screened")))</f>
        <v/>
      </c>
    </row>
    <row r="99">
      <c r="A99" s="4">
        <f>IF(Screen_Input!H99="","",Screen_Input!A99)</f>
        <v/>
      </c>
      <c r="B99" s="4">
        <f>IF(Screen_Input!H99="","",Screen_Input!B99)</f>
        <v/>
      </c>
      <c r="C99" s="9">
        <f>IF(Screen_Input!H99="","",IF(OR(Screen_Input!S99&lt;&gt;"verified",Screen_Input!H99=""),"INCOMPLETE","ELIGIBLE"))</f>
        <v/>
      </c>
      <c r="D99" s="4">
        <f>IF($A99="","",COUNT(Screen_Input!I99:Q99)/9)</f>
        <v/>
      </c>
      <c r="E99" s="4">
        <f>IF($A99="","",IF(Screen_Input!K99="","",MIN(100,MAX(0,Screen_Input!K99*100))))</f>
        <v/>
      </c>
      <c r="F99" s="4">
        <f>IF($A99="","",IF(Screen_Input!O99="","",MIN(100,MAX(0,Screen_Input!O99*100))))</f>
        <v/>
      </c>
      <c r="G99" s="4">
        <f>IF($A99="","",IF(Screen_Input!N99="","",MIN(100,MAX(0,100-Screen_Input!N99*20))))</f>
        <v/>
      </c>
      <c r="H99" s="4">
        <f>IF($A99="","",IF(Screen_Input!P99="","",MIN(100,MAX(0,100-Screen_Input!P99*3))))</f>
        <v/>
      </c>
      <c r="I99" s="4">
        <f>IF($A99="","",IF(Screen_Input!S99&lt;&gt;"verified","",50))</f>
        <v/>
      </c>
      <c r="J99" s="10">
        <f>IF(OR($A99="",$D99&lt;0.6,$C99&lt;&gt;"ELIGIBLE"),"",ROUND(($E99*0.25+$F99*0.15+$G99*0.10+$H99*0.20+$I99*0.10+50*0.20),1))</f>
        <v/>
      </c>
      <c r="K99" s="11">
        <f>IF($J99="","",ROUND($D99*100,0))</f>
        <v/>
      </c>
      <c r="L99" s="4">
        <f>IF($J99="","",IF($J99&gt;=85,"STRONG",IF($J99&gt;=70,"POSITIVE",IF($J99&gt;=55,"WATCH",IF($J99&gt;=40,"WEAK","REJECT")))))</f>
        <v/>
      </c>
      <c r="M99" s="4">
        <f>IF($A99="","",IF($C99&lt;&gt;"ELIGIBLE","Needs verified source / data coverage",IF($D99&lt;0.8,"Provisional coverage","Screened")))</f>
        <v/>
      </c>
    </row>
    <row r="100">
      <c r="A100" s="4">
        <f>IF(Screen_Input!H100="","",Screen_Input!A100)</f>
        <v/>
      </c>
      <c r="B100" s="4">
        <f>IF(Screen_Input!H100="","",Screen_Input!B100)</f>
        <v/>
      </c>
      <c r="C100" s="9">
        <f>IF(Screen_Input!H100="","",IF(OR(Screen_Input!S100&lt;&gt;"verified",Screen_Input!H100=""),"INCOMPLETE","ELIGIBLE"))</f>
        <v/>
      </c>
      <c r="D100" s="4">
        <f>IF($A100="","",COUNT(Screen_Input!I100:Q100)/9)</f>
        <v/>
      </c>
      <c r="E100" s="4">
        <f>IF($A100="","",IF(Screen_Input!K100="","",MIN(100,MAX(0,Screen_Input!K100*100))))</f>
        <v/>
      </c>
      <c r="F100" s="4">
        <f>IF($A100="","",IF(Screen_Input!O100="","",MIN(100,MAX(0,Screen_Input!O100*100))))</f>
        <v/>
      </c>
      <c r="G100" s="4">
        <f>IF($A100="","",IF(Screen_Input!N100="","",MIN(100,MAX(0,100-Screen_Input!N100*20))))</f>
        <v/>
      </c>
      <c r="H100" s="4">
        <f>IF($A100="","",IF(Screen_Input!P100="","",MIN(100,MAX(0,100-Screen_Input!P100*3))))</f>
        <v/>
      </c>
      <c r="I100" s="4">
        <f>IF($A100="","",IF(Screen_Input!S100&lt;&gt;"verified","",50))</f>
        <v/>
      </c>
      <c r="J100" s="10">
        <f>IF(OR($A100="",$D100&lt;0.6,$C100&lt;&gt;"ELIGIBLE"),"",ROUND(($E100*0.25+$F100*0.15+$G100*0.10+$H100*0.20+$I100*0.10+50*0.20),1))</f>
        <v/>
      </c>
      <c r="K100" s="11">
        <f>IF($J100="","",ROUND($D100*100,0))</f>
        <v/>
      </c>
      <c r="L100" s="4">
        <f>IF($J100="","",IF($J100&gt;=85,"STRONG",IF($J100&gt;=70,"POSITIVE",IF($J100&gt;=55,"WATCH",IF($J100&gt;=40,"WEAK","REJECT")))))</f>
        <v/>
      </c>
      <c r="M100" s="4">
        <f>IF($A100="","",IF($C100&lt;&gt;"ELIGIBLE","Needs verified source / data coverage",IF($D100&lt;0.8,"Provisional coverage","Screened")))</f>
        <v/>
      </c>
    </row>
    <row r="101">
      <c r="A101" s="4">
        <f>IF(Screen_Input!H101="","",Screen_Input!A101)</f>
        <v/>
      </c>
      <c r="B101" s="4">
        <f>IF(Screen_Input!H101="","",Screen_Input!B101)</f>
        <v/>
      </c>
      <c r="C101" s="9">
        <f>IF(Screen_Input!H101="","",IF(OR(Screen_Input!S101&lt;&gt;"verified",Screen_Input!H101=""),"INCOMPLETE","ELIGIBLE"))</f>
        <v/>
      </c>
      <c r="D101" s="4">
        <f>IF($A101="","",COUNT(Screen_Input!I101:Q101)/9)</f>
        <v/>
      </c>
      <c r="E101" s="4">
        <f>IF($A101="","",IF(Screen_Input!K101="","",MIN(100,MAX(0,Screen_Input!K101*100))))</f>
        <v/>
      </c>
      <c r="F101" s="4">
        <f>IF($A101="","",IF(Screen_Input!O101="","",MIN(100,MAX(0,Screen_Input!O101*100))))</f>
        <v/>
      </c>
      <c r="G101" s="4">
        <f>IF($A101="","",IF(Screen_Input!N101="","",MIN(100,MAX(0,100-Screen_Input!N101*20))))</f>
        <v/>
      </c>
      <c r="H101" s="4">
        <f>IF($A101="","",IF(Screen_Input!P101="","",MIN(100,MAX(0,100-Screen_Input!P101*3))))</f>
        <v/>
      </c>
      <c r="I101" s="4">
        <f>IF($A101="","",IF(Screen_Input!S101&lt;&gt;"verified","",50))</f>
        <v/>
      </c>
      <c r="J101" s="10">
        <f>IF(OR($A101="",$D101&lt;0.6,$C101&lt;&gt;"ELIGIBLE"),"",ROUND(($E101*0.25+$F101*0.15+$G101*0.10+$H101*0.20+$I101*0.10+50*0.20),1))</f>
        <v/>
      </c>
      <c r="K101" s="11">
        <f>IF($J101="","",ROUND($D101*100,0))</f>
        <v/>
      </c>
      <c r="L101" s="4">
        <f>IF($J101="","",IF($J101&gt;=85,"STRONG",IF($J101&gt;=70,"POSITIVE",IF($J101&gt;=55,"WATCH",IF($J101&gt;=40,"WEAK","REJECT")))))</f>
        <v/>
      </c>
      <c r="M101" s="4">
        <f>IF($A101="","",IF($C101&lt;&gt;"ELIGIBLE","Needs verified source / data coverage",IF($D101&lt;0.8,"Provisional coverage","Screened")))</f>
        <v/>
      </c>
    </row>
    <row r="102">
      <c r="A102" s="4">
        <f>IF(Screen_Input!H102="","",Screen_Input!A102)</f>
        <v/>
      </c>
      <c r="B102" s="4">
        <f>IF(Screen_Input!H102="","",Screen_Input!B102)</f>
        <v/>
      </c>
      <c r="C102" s="9">
        <f>IF(Screen_Input!H102="","",IF(OR(Screen_Input!S102&lt;&gt;"verified",Screen_Input!H102=""),"INCOMPLETE","ELIGIBLE"))</f>
        <v/>
      </c>
      <c r="D102" s="4">
        <f>IF($A102="","",COUNT(Screen_Input!I102:Q102)/9)</f>
        <v/>
      </c>
      <c r="E102" s="4">
        <f>IF($A102="","",IF(Screen_Input!K102="","",MIN(100,MAX(0,Screen_Input!K102*100))))</f>
        <v/>
      </c>
      <c r="F102" s="4">
        <f>IF($A102="","",IF(Screen_Input!O102="","",MIN(100,MAX(0,Screen_Input!O102*100))))</f>
        <v/>
      </c>
      <c r="G102" s="4">
        <f>IF($A102="","",IF(Screen_Input!N102="","",MIN(100,MAX(0,100-Screen_Input!N102*20))))</f>
        <v/>
      </c>
      <c r="H102" s="4">
        <f>IF($A102="","",IF(Screen_Input!P102="","",MIN(100,MAX(0,100-Screen_Input!P102*3))))</f>
        <v/>
      </c>
      <c r="I102" s="4">
        <f>IF($A102="","",IF(Screen_Input!S102&lt;&gt;"verified","",50))</f>
        <v/>
      </c>
      <c r="J102" s="10">
        <f>IF(OR($A102="",$D102&lt;0.6,$C102&lt;&gt;"ELIGIBLE"),"",ROUND(($E102*0.25+$F102*0.15+$G102*0.10+$H102*0.20+$I102*0.10+50*0.20),1))</f>
        <v/>
      </c>
      <c r="K102" s="11">
        <f>IF($J102="","",ROUND($D102*100,0))</f>
        <v/>
      </c>
      <c r="L102" s="4">
        <f>IF($J102="","",IF($J102&gt;=85,"STRONG",IF($J102&gt;=70,"POSITIVE",IF($J102&gt;=55,"WATCH",IF($J102&gt;=40,"WEAK","REJECT")))))</f>
        <v/>
      </c>
      <c r="M102" s="4">
        <f>IF($A102="","",IF($C102&lt;&gt;"ELIGIBLE","Needs verified source / data coverage",IF($D102&lt;0.8,"Provisional coverage","Screened")))</f>
        <v/>
      </c>
    </row>
    <row r="103">
      <c r="A103" s="4">
        <f>IF(Screen_Input!H103="","",Screen_Input!A103)</f>
        <v/>
      </c>
      <c r="B103" s="4">
        <f>IF(Screen_Input!H103="","",Screen_Input!B103)</f>
        <v/>
      </c>
      <c r="C103" s="9">
        <f>IF(Screen_Input!H103="","",IF(OR(Screen_Input!S103&lt;&gt;"verified",Screen_Input!H103=""),"INCOMPLETE","ELIGIBLE"))</f>
        <v/>
      </c>
      <c r="D103" s="4">
        <f>IF($A103="","",COUNT(Screen_Input!I103:Q103)/9)</f>
        <v/>
      </c>
      <c r="E103" s="4">
        <f>IF($A103="","",IF(Screen_Input!K103="","",MIN(100,MAX(0,Screen_Input!K103*100))))</f>
        <v/>
      </c>
      <c r="F103" s="4">
        <f>IF($A103="","",IF(Screen_Input!O103="","",MIN(100,MAX(0,Screen_Input!O103*100))))</f>
        <v/>
      </c>
      <c r="G103" s="4">
        <f>IF($A103="","",IF(Screen_Input!N103="","",MIN(100,MAX(0,100-Screen_Input!N103*20))))</f>
        <v/>
      </c>
      <c r="H103" s="4">
        <f>IF($A103="","",IF(Screen_Input!P103="","",MIN(100,MAX(0,100-Screen_Input!P103*3))))</f>
        <v/>
      </c>
      <c r="I103" s="4">
        <f>IF($A103="","",IF(Screen_Input!S103&lt;&gt;"verified","",50))</f>
        <v/>
      </c>
      <c r="J103" s="10">
        <f>IF(OR($A103="",$D103&lt;0.6,$C103&lt;&gt;"ELIGIBLE"),"",ROUND(($E103*0.25+$F103*0.15+$G103*0.10+$H103*0.20+$I103*0.10+50*0.20),1))</f>
        <v/>
      </c>
      <c r="K103" s="11">
        <f>IF($J103="","",ROUND($D103*100,0))</f>
        <v/>
      </c>
      <c r="L103" s="4">
        <f>IF($J103="","",IF($J103&gt;=85,"STRONG",IF($J103&gt;=70,"POSITIVE",IF($J103&gt;=55,"WATCH",IF($J103&gt;=40,"WEAK","REJECT")))))</f>
        <v/>
      </c>
      <c r="M103" s="4">
        <f>IF($A103="","",IF($C103&lt;&gt;"ELIGIBLE","Needs verified source / data coverage",IF($D103&lt;0.8,"Provisional coverage","Screened")))</f>
        <v/>
      </c>
    </row>
    <row r="104">
      <c r="A104" s="4">
        <f>IF(Screen_Input!H104="","",Screen_Input!A104)</f>
        <v/>
      </c>
      <c r="B104" s="4">
        <f>IF(Screen_Input!H104="","",Screen_Input!B104)</f>
        <v/>
      </c>
      <c r="C104" s="9">
        <f>IF(Screen_Input!H104="","",IF(OR(Screen_Input!S104&lt;&gt;"verified",Screen_Input!H104=""),"INCOMPLETE","ELIGIBLE"))</f>
        <v/>
      </c>
      <c r="D104" s="4">
        <f>IF($A104="","",COUNT(Screen_Input!I104:Q104)/9)</f>
        <v/>
      </c>
      <c r="E104" s="4">
        <f>IF($A104="","",IF(Screen_Input!K104="","",MIN(100,MAX(0,Screen_Input!K104*100))))</f>
        <v/>
      </c>
      <c r="F104" s="4">
        <f>IF($A104="","",IF(Screen_Input!O104="","",MIN(100,MAX(0,Screen_Input!O104*100))))</f>
        <v/>
      </c>
      <c r="G104" s="4">
        <f>IF($A104="","",IF(Screen_Input!N104="","",MIN(100,MAX(0,100-Screen_Input!N104*20))))</f>
        <v/>
      </c>
      <c r="H104" s="4">
        <f>IF($A104="","",IF(Screen_Input!P104="","",MIN(100,MAX(0,100-Screen_Input!P104*3))))</f>
        <v/>
      </c>
      <c r="I104" s="4">
        <f>IF($A104="","",IF(Screen_Input!S104&lt;&gt;"verified","",50))</f>
        <v/>
      </c>
      <c r="J104" s="10">
        <f>IF(OR($A104="",$D104&lt;0.6,$C104&lt;&gt;"ELIGIBLE"),"",ROUND(($E104*0.25+$F104*0.15+$G104*0.10+$H104*0.20+$I104*0.10+50*0.20),1))</f>
        <v/>
      </c>
      <c r="K104" s="11">
        <f>IF($J104="","",ROUND($D104*100,0))</f>
        <v/>
      </c>
      <c r="L104" s="4">
        <f>IF($J104="","",IF($J104&gt;=85,"STRONG",IF($J104&gt;=70,"POSITIVE",IF($J104&gt;=55,"WATCH",IF($J104&gt;=40,"WEAK","REJECT")))))</f>
        <v/>
      </c>
      <c r="M104" s="4">
        <f>IF($A104="","",IF($C104&lt;&gt;"ELIGIBLE","Needs verified source / data coverage",IF($D104&lt;0.8,"Provisional coverage","Screened")))</f>
        <v/>
      </c>
    </row>
  </sheetData>
  <autoFilter ref="A4:M104"/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D7FF3F"/>
    <outlinePr summaryBelow="1" summaryRight="1"/>
    <pageSetUpPr fitToPage="1"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32" customHeight="1">
      <c r="A1" s="1" t="inlineStr">
        <is>
          <t>RESEARCH / CARD</t>
        </is>
      </c>
    </row>
    <row r="2" ht="28" customHeight="1">
      <c r="A2" s="2" t="inlineStr">
        <is>
          <t>Deep-dive structure for one issuer; duplicate the sheet per company</t>
        </is>
      </c>
    </row>
    <row r="4" ht="34" customHeight="1">
      <c r="A4" s="3" t="inlineStr">
        <is>
          <t>Entity Card</t>
        </is>
      </c>
      <c r="B4" s="4" t="inlineStr">
        <is>
          <t>Legal issuer / ticker / exchange / country / currency / fiscal year-end</t>
        </is>
      </c>
    </row>
    <row r="5" ht="34" customHeight="1">
      <c r="A5" s="3" t="inlineStr">
        <is>
          <t>Research Question</t>
        </is>
      </c>
      <c r="B5" s="4" t="inlineStr">
        <is>
          <t>What must this analysis determine?</t>
        </is>
      </c>
    </row>
    <row r="6" ht="34" customHeight="1">
      <c r="A6" s="3" t="inlineStr">
        <is>
          <t>Thesis</t>
        </is>
      </c>
      <c r="B6" s="4" t="inlineStr">
        <is>
          <t>One paragraph supported by source refs</t>
        </is>
      </c>
    </row>
    <row r="7" ht="34" customHeight="1">
      <c r="A7" s="3" t="inlineStr">
        <is>
          <t>Refuting Evidence</t>
        </is>
      </c>
      <c r="B7" s="4" t="inlineStr">
        <is>
          <t>Evidence against the thesis</t>
        </is>
      </c>
    </row>
    <row r="8" ht="34" customHeight="1">
      <c r="A8" s="3" t="inlineStr">
        <is>
          <t>Business &amp; Moat</t>
        </is>
      </c>
      <c r="B8" s="4" t="inlineStr">
        <is>
          <t>Segments, customers, competition, pricing power, durability</t>
        </is>
      </c>
    </row>
    <row r="9" ht="34" customHeight="1">
      <c r="A9" s="3" t="inlineStr">
        <is>
          <t>Financial Quality</t>
        </is>
      </c>
      <c r="B9" s="4" t="inlineStr">
        <is>
          <t>Growth, margins, ROIC, cash conversion, cyclicality</t>
        </is>
      </c>
    </row>
    <row r="10" ht="34" customHeight="1">
      <c r="A10" s="3" t="inlineStr">
        <is>
          <t>Balance Sheet</t>
        </is>
      </c>
      <c r="B10" s="4" t="inlineStr">
        <is>
          <t>Net debt, maturities, liquidity, covenants, off-balance-sheet risks</t>
        </is>
      </c>
    </row>
    <row r="11" ht="34" customHeight="1">
      <c r="A11" s="3" t="inlineStr">
        <is>
          <t>Valuation</t>
        </is>
      </c>
      <c r="B11" s="4" t="inlineStr">
        <is>
          <t>Base / bull / bear assumptions, methods, sensitivity and source refs</t>
        </is>
      </c>
    </row>
    <row r="12" ht="34" customHeight="1">
      <c r="A12" s="3" t="inlineStr">
        <is>
          <t>Catalysts</t>
        </is>
      </c>
      <c r="B12" s="4" t="inlineStr">
        <is>
          <t>Observable events and expected timing</t>
        </is>
      </c>
    </row>
    <row r="13" ht="34" customHeight="1">
      <c r="A13" s="3" t="inlineStr">
        <is>
          <t>Risks</t>
        </is>
      </c>
      <c r="B13" s="4" t="inlineStr">
        <is>
          <t>Risk, severity, likelihood, mitigation</t>
        </is>
      </c>
    </row>
    <row r="14" ht="34" customHeight="1">
      <c r="A14" s="3" t="inlineStr">
        <is>
          <t>Monitoring</t>
        </is>
      </c>
      <c r="B14" s="4" t="inlineStr">
        <is>
          <t>Metrics and thresholds to monitor</t>
        </is>
      </c>
    </row>
    <row r="15" ht="34" customHeight="1">
      <c r="A15" s="3" t="inlineStr">
        <is>
          <t>Invalidation</t>
        </is>
      </c>
      <c r="B15" s="4" t="inlineStr">
        <is>
          <t>Observable evidence that would invalidate the thesis</t>
        </is>
      </c>
    </row>
    <row r="16" ht="34" customHeight="1">
      <c r="A16" s="3" t="inlineStr">
        <is>
          <t>Conclusion</t>
        </is>
      </c>
      <c r="B16" s="4" t="inlineStr">
        <is>
          <t>Research label, confidence, coverage and unresolved data gaps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D7FF3F"/>
    <outlinePr summaryBelow="1" summaryRight="1"/>
    <pageSetUpPr fitToPage="1"/>
  </sheetPr>
  <dimension ref="A1:O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2" customWidth="1" min="3" max="3"/>
    <col width="42" customWidth="1" min="4" max="4"/>
    <col width="22" customWidth="1" min="5" max="5"/>
    <col width="16" customWidth="1" min="6" max="6"/>
    <col width="18" customWidth="1" min="7" max="7"/>
    <col width="12" customWidth="1" min="8" max="8"/>
    <col width="10" customWidth="1" min="9" max="9"/>
    <col width="14" customWidth="1" min="10" max="10"/>
    <col width="12" customWidth="1" min="11" max="11"/>
    <col width="16" customWidth="1" min="12" max="12"/>
    <col width="34" customWidth="1" min="13" max="13"/>
    <col width="16" customWidth="1" min="14" max="14"/>
    <col width="34" customWidth="1" min="15" max="15"/>
  </cols>
  <sheetData>
    <row r="1" ht="32" customHeight="1">
      <c r="A1" s="1" t="inlineStr">
        <is>
          <t>SOURCE / MANIFEST</t>
        </is>
      </c>
    </row>
    <row r="2" ht="28" customHeight="1">
      <c r="A2" s="2" t="inlineStr">
        <is>
          <t>Every material value must map to a source reference</t>
        </is>
      </c>
    </row>
    <row r="4">
      <c r="A4" s="3" t="inlineStr">
        <is>
          <t>Source Ref</t>
        </is>
      </c>
      <c r="B4" s="3" t="inlineStr">
        <is>
          <t>Publisher</t>
        </is>
      </c>
      <c r="C4" s="3" t="inlineStr">
        <is>
          <t>Title</t>
        </is>
      </c>
      <c r="D4" s="3" t="inlineStr">
        <is>
          <t>URL or File</t>
        </is>
      </c>
      <c r="E4" s="3" t="inlineStr">
        <is>
          <t>Retrieved At</t>
        </is>
      </c>
      <c r="F4" s="3" t="inlineStr">
        <is>
          <t>Data As Of</t>
        </is>
      </c>
      <c r="G4" s="3" t="inlineStr">
        <is>
          <t>Publication Date</t>
        </is>
      </c>
      <c r="H4" s="3" t="inlineStr">
        <is>
          <t>Period</t>
        </is>
      </c>
      <c r="I4" s="3" t="inlineStr">
        <is>
          <t>Currency</t>
        </is>
      </c>
      <c r="J4" s="3" t="inlineStr">
        <is>
          <t>Unit</t>
        </is>
      </c>
      <c r="K4" s="3" t="inlineStr">
        <is>
          <t>Source Tier</t>
        </is>
      </c>
      <c r="L4" s="3" t="inlineStr">
        <is>
          <t>Original / Derived</t>
        </is>
      </c>
      <c r="M4" s="3" t="inlineStr">
        <is>
          <t>Claim Coverage</t>
        </is>
      </c>
      <c r="N4" s="3" t="inlineStr">
        <is>
          <t>Status</t>
        </is>
      </c>
      <c r="O4" s="3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</sheetData>
  <autoFilter ref="A4:O104"/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2026-10-05T12:27:17Z</dcterms:created>
  <dcterms:modified xmlns:dcterms="http://purl.org/dc/terms/" xmlns:xsi="http://www.w3.org/2001/XMLSchema-instance" xsi:type="dcterms:W3CDTF">2026-10-05T12:27:18Z</dcterms:modified>
</cp:coreProperties>
</file>